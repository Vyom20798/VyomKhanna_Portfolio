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Brand Analysis" sheetId="2" state="visible" r:id="rId4"/>
    <sheet name="Utilisation Analysis" sheetId="3" state="visible" r:id="rId5"/>
    <sheet name="Monthly Trend" sheetId="4" state="visible" r:id="rId6"/>
    <sheet name="Cancellation Analysi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<sst xmlns="http://schemas.openxmlformats.org/spreadsheetml/2006/main" count="211" uniqueCount="158">
  <si>
    <t xml:space="preserve">VWG Training Analysis — Executive Summary</t>
  </si>
  <si>
    <t xml:space="preserve">KEY PERFORMANCE INDICATORS</t>
  </si>
  <si>
    <t xml:space="preserve">Total Bookings</t>
  </si>
  <si>
    <t xml:space="preserve">Completed</t>
  </si>
  <si>
    <t xml:space="preserve">Cancelled</t>
  </si>
  <si>
    <t xml:space="preserve">No-Show</t>
  </si>
  <si>
    <t xml:space="preserve">Completion Rate</t>
  </si>
  <si>
    <t xml:space="preserve">Cancellation Rate</t>
  </si>
  <si>
    <t xml:space="preserve">No-Show Rate</t>
  </si>
  <si>
    <t xml:space="preserve">Avg Utilisation</t>
  </si>
  <si>
    <t xml:space="preserve">KEY INSIGHTS</t>
  </si>
  <si>
    <t xml:space="preserve">1</t>
  </si>
  <si>
    <t xml:space="preserve">Audi dominates bookings with 10,032 records (32% of total), followed by VW Passenger Cars at 8,781 (28%).</t>
  </si>
  <si>
    <t xml:space="preserve">2</t>
  </si>
  <si>
    <t xml:space="preserve">P&amp;B has a 30.0% cancellation rate — double the portfolio average of 14.9%. This requires immediate investigation.</t>
  </si>
  <si>
    <t xml:space="preserve">3</t>
  </si>
  <si>
    <t xml:space="preserve">88.9% average utilisation across 1,466 events is strong, but 154 events (10.5%) are below 70% utilisation.</t>
  </si>
  <si>
    <t xml:space="preserve">4</t>
  </si>
  <si>
    <t xml:space="preserve">18 events across 11 courses are overbooked, indicating unmet demand requiring additional sessions.</t>
  </si>
  <si>
    <t xml:space="preserve">5</t>
  </si>
  <si>
    <t xml:space="preserve">Webinars outperform Face to Face on utilisation: 92.4% vs 88.3%. Webinars should be used more for high-demand topics.</t>
  </si>
  <si>
    <t xml:space="preserve">6</t>
  </si>
  <si>
    <t xml:space="preserve">November 2024 was the peak month with 3,427 bookings, driven by new model launches (CUPRA Terramar, VWCV).</t>
  </si>
  <si>
    <t xml:space="preserve">7</t>
  </si>
  <si>
    <t xml:space="preserve">Skoda NATIONAL TRAINING Q4 ELROQ is the single most completed course with 527 completions.</t>
  </si>
  <si>
    <t xml:space="preserve">8</t>
  </si>
  <si>
    <t xml:space="preserve">1,648 courses are attended by only one brand, suggesting limited cross-brand training utilisation.</t>
  </si>
  <si>
    <t xml:space="preserve">Brand Booking and Cancellation Analysis</t>
  </si>
  <si>
    <t xml:space="preserve">Brand</t>
  </si>
  <si>
    <t xml:space="preserve">Audi</t>
  </si>
  <si>
    <t xml:space="preserve">VW Passenger Cars</t>
  </si>
  <si>
    <t xml:space="preserve">Skoda</t>
  </si>
  <si>
    <t xml:space="preserve">VW Commercial Vehicles</t>
  </si>
  <si>
    <t xml:space="preserve">CUPRA</t>
  </si>
  <si>
    <t xml:space="preserve">SEAT</t>
  </si>
  <si>
    <t xml:space="preserve">P&amp;B</t>
  </si>
  <si>
    <t xml:space="preserve">VWG-UK</t>
  </si>
  <si>
    <t xml:space="preserve">EXTERNAL</t>
  </si>
  <si>
    <t xml:space="preserve">TPS</t>
  </si>
  <si>
    <t xml:space="preserve">TOTAL</t>
  </si>
  <si>
    <t xml:space="preserve">Course Utilisation Analysis — Top and Bottom Performers</t>
  </si>
  <si>
    <t xml:space="preserve">TOP 10 COURSES BY UTILISATION</t>
  </si>
  <si>
    <t xml:space="preserve">Course ID</t>
  </si>
  <si>
    <t xml:space="preserve">Course Name</t>
  </si>
  <si>
    <t xml:space="preserve">Events</t>
  </si>
  <si>
    <t xml:space="preserve">Total Capacity</t>
  </si>
  <si>
    <t xml:space="preserve">Status</t>
  </si>
  <si>
    <t xml:space="preserve">PBSE240724F.01</t>
  </si>
  <si>
    <t xml:space="preserve">PB Passat &amp; Tiguan New Technologies</t>
  </si>
  <si>
    <t xml:space="preserve">OVERBOOKED</t>
  </si>
  <si>
    <t xml:space="preserve">GTMA08160623F.01</t>
  </si>
  <si>
    <t xml:space="preserve">Group Electrical Diagnosis for Master Technicians</t>
  </si>
  <si>
    <t xml:space="preserve">FULL</t>
  </si>
  <si>
    <t xml:space="preserve">ATEX11080725F.01</t>
  </si>
  <si>
    <t xml:space="preserve">Audi Q6 e-tron HV Product Training</t>
  </si>
  <si>
    <t xml:space="preserve">ATM00001A.01</t>
  </si>
  <si>
    <t xml:space="preserve">AUDI Master Technician Assessment</t>
  </si>
  <si>
    <t xml:space="preserve">ATPT301224F.01</t>
  </si>
  <si>
    <t xml:space="preserve">Audi Product Training Dec 2024</t>
  </si>
  <si>
    <t xml:space="preserve">HIGH</t>
  </si>
  <si>
    <t xml:space="preserve">GTB00211P.02</t>
  </si>
  <si>
    <t xml:space="preserve">Diagnostic Equipment</t>
  </si>
  <si>
    <t xml:space="preserve">GCS31AR61D.01</t>
  </si>
  <si>
    <t xml:space="preserve">Warranty Executive Pre Assessment VC</t>
  </si>
  <si>
    <t xml:space="preserve">VTB00001A.01</t>
  </si>
  <si>
    <t xml:space="preserve">Volkswagen Service Technician Assessment</t>
  </si>
  <si>
    <t xml:space="preserve">TAB173A</t>
  </si>
  <si>
    <t xml:space="preserve">AUDI Infotainment Systems</t>
  </si>
  <si>
    <t xml:space="preserve">GTA213001P.01</t>
  </si>
  <si>
    <t xml:space="preserve">Group Anti-Lock Braking &amp; Associated Systems</t>
  </si>
  <si>
    <t xml:space="preserve">BOTTOM 10 COURSES BY UTILISATION — REVIEW RECOMMENDED</t>
  </si>
  <si>
    <t xml:space="preserve">GTB07002A.01</t>
  </si>
  <si>
    <t xml:space="preserve">Electrical Diagnosis 1 Referral Training</t>
  </si>
  <si>
    <t xml:space="preserve">LOW</t>
  </si>
  <si>
    <t xml:space="preserve">GTB10801P.01</t>
  </si>
  <si>
    <t xml:space="preserve">Workshop Information Systems Referral Training</t>
  </si>
  <si>
    <t xml:space="preserve">PBA07221P.01</t>
  </si>
  <si>
    <t xml:space="preserve">Electrical Fault Finding</t>
  </si>
  <si>
    <t xml:space="preserve">TEX121A</t>
  </si>
  <si>
    <t xml:space="preserve">AUDI Specialist Diesel Engine Management</t>
  </si>
  <si>
    <t xml:space="preserve">TAB170K</t>
  </si>
  <si>
    <t xml:space="preserve">SKODA Comfort &amp; Convenience Electrical Systems</t>
  </si>
  <si>
    <t xml:space="preserve">NTA08001P.02</t>
  </si>
  <si>
    <t xml:space="preserve">Nissan Training Course 2</t>
  </si>
  <si>
    <t xml:space="preserve">STMA0623F.01</t>
  </si>
  <si>
    <t xml:space="preserve">SEAT Master Technician Assessment</t>
  </si>
  <si>
    <t xml:space="preserve">GTM35511P.01</t>
  </si>
  <si>
    <t xml:space="preserve">Master Technician Customer Service Excellence</t>
  </si>
  <si>
    <t xml:space="preserve">CRITICAL</t>
  </si>
  <si>
    <t xml:space="preserve">GTA07171B.01</t>
  </si>
  <si>
    <t xml:space="preserve">Group Technical Training 1</t>
  </si>
  <si>
    <t xml:space="preserve">PBB40001A.01</t>
  </si>
  <si>
    <t xml:space="preserve">Panel Technician Assessment</t>
  </si>
  <si>
    <t xml:space="preserve">EVENTS BY UTILISATION BAND</t>
  </si>
  <si>
    <t xml:space="preserve">Utilisation Band</t>
  </si>
  <si>
    <t xml:space="preserve">% of Total Events</t>
  </si>
  <si>
    <t xml:space="preserve">Action</t>
  </si>
  <si>
    <t xml:space="preserve">90-100%</t>
  </si>
  <si>
    <t xml:space="preserve">No action needed</t>
  </si>
  <si>
    <t xml:space="preserve">70-89%</t>
  </si>
  <si>
    <t xml:space="preserve">Monitor</t>
  </si>
  <si>
    <t xml:space="preserve">50-69%</t>
  </si>
  <si>
    <t xml:space="preserve">Review and promote</t>
  </si>
  <si>
    <t xml:space="preserve">Below 50%</t>
  </si>
  <si>
    <t xml:space="preserve">Immediate review recommended</t>
  </si>
  <si>
    <t xml:space="preserve">Monthly Booking Trend — Jul 2024 to Jul 2025</t>
  </si>
  <si>
    <t xml:space="preserve">Month</t>
  </si>
  <si>
    <t xml:space="preserve">Jul 2024</t>
  </si>
  <si>
    <t xml:space="preserve">Aug 2024</t>
  </si>
  <si>
    <t xml:space="preserve">Sep 2024</t>
  </si>
  <si>
    <t xml:space="preserve">Oct 2024</t>
  </si>
  <si>
    <t xml:space="preserve">Nov 2024</t>
  </si>
  <si>
    <t xml:space="preserve">Dec 2024</t>
  </si>
  <si>
    <t xml:space="preserve">Jan 2025</t>
  </si>
  <si>
    <t xml:space="preserve">Feb 2025</t>
  </si>
  <si>
    <t xml:space="preserve">Mar 2025</t>
  </si>
  <si>
    <t xml:space="preserve">Apr 2025</t>
  </si>
  <si>
    <t xml:space="preserve">May 2025</t>
  </si>
  <si>
    <t xml:space="preserve">Jun 2025</t>
  </si>
  <si>
    <t xml:space="preserve">Jul 2025</t>
  </si>
  <si>
    <t xml:space="preserve">Cancellation and No-Show Analysis</t>
  </si>
  <si>
    <t xml:space="preserve">PORTFOLIO SUMMARY</t>
  </si>
  <si>
    <t xml:space="preserve">Metric</t>
  </si>
  <si>
    <t xml:space="preserve">Value</t>
  </si>
  <si>
    <t xml:space="preserve">Benchmark</t>
  </si>
  <si>
    <t xml:space="preserve">Overall Cancellation Rate</t>
  </si>
  <si>
    <t xml:space="preserve">14.9%</t>
  </si>
  <si>
    <t xml:space="preserve">Industry avg ~10-12%</t>
  </si>
  <si>
    <t xml:space="preserve">Above average — monitor</t>
  </si>
  <si>
    <t xml:space="preserve">Overall No-Show Rate</t>
  </si>
  <si>
    <t xml:space="preserve">4.1%</t>
  </si>
  <si>
    <t xml:space="preserve">Industry avg ~3-5%</t>
  </si>
  <si>
    <t xml:space="preserve">Within range</t>
  </si>
  <si>
    <t xml:space="preserve">P&amp;B Cancellation Rate</t>
  </si>
  <si>
    <t xml:space="preserve">30.0%</t>
  </si>
  <si>
    <t xml:space="preserve">Portfolio avg 14.9%</t>
  </si>
  <si>
    <t xml:space="preserve">CRITICAL — 2x average</t>
  </si>
  <si>
    <t xml:space="preserve">VWG-UK Cancellation Rate</t>
  </si>
  <si>
    <t xml:space="preserve">27.4%</t>
  </si>
  <si>
    <t xml:space="preserve">HIGH — needs review</t>
  </si>
  <si>
    <t xml:space="preserve">Best Brand (TPS)</t>
  </si>
  <si>
    <t xml:space="preserve">8.9%</t>
  </si>
  <si>
    <t xml:space="preserve">Best performer</t>
  </si>
  <si>
    <t xml:space="preserve">TOP 10 COURSES BY CANCELLATION RATE</t>
  </si>
  <si>
    <t xml:space="preserve">PBA40161P.01</t>
  </si>
  <si>
    <t xml:space="preserve">Electrical Fault Finding Assessment</t>
  </si>
  <si>
    <t xml:space="preserve">GTEX0125F.01</t>
  </si>
  <si>
    <t xml:space="preserve">Bonding Expert</t>
  </si>
  <si>
    <t xml:space="preserve">PBB00391P.01</t>
  </si>
  <si>
    <t xml:space="preserve">MET Technician Course</t>
  </si>
  <si>
    <t xml:space="preserve">CPB73</t>
  </si>
  <si>
    <t xml:space="preserve">CUPRA Product Broadcast</t>
  </si>
  <si>
    <t xml:space="preserve">PBB00211P.01</t>
  </si>
  <si>
    <t xml:space="preserve">MET Technician Course 2</t>
  </si>
  <si>
    <t xml:space="preserve">PBB07001P.01</t>
  </si>
  <si>
    <t xml:space="preserve">PB Technical Course</t>
  </si>
  <si>
    <t xml:space="preserve">PBB09391P.01</t>
  </si>
  <si>
    <t xml:space="preserve">PB Assessment Course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</si>
</sst>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1"/>
      <color rgb="FF001E50"/>
      <name val="Arial"/>
      <family val="0"/>
      <charset val="1"/>
    </font>
    <font>
      <b val="true"/>
      <sz val="10"/>
      <color rgb="FF001E50"/>
      <name val="Arial"/>
      <family val="0"/>
      <charset val="1"/>
    </font>
    <font>
      <b val="true"/>
      <sz val="14"/>
      <color rgb="FF001E50"/>
      <name val="Arial"/>
      <family val="0"/>
      <charset val="1"/>
    </font>
    <font>
      <b val="true"/>
      <sz val="14"/>
      <color rgb="FFE4002B"/>
      <name val="Arial"/>
      <family val="0"/>
      <charset val="1"/>
    </font>
    <font>
      <b val="true"/>
      <sz val="14"/>
      <color rgb="FFFFA500"/>
      <name val="Arial"/>
      <family val="0"/>
      <charset val="1"/>
    </font>
    <font>
      <sz val="10"/>
      <color rgb="FF001E5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E4002B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006400"/>
      <name val="Arial"/>
      <family val="0"/>
      <charset val="1"/>
    </font>
    <font>
      <b val="true"/>
      <sz val="10"/>
      <color rgb="FFFFA5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01E50"/>
        <bgColor rgb="FF000080"/>
      </patternFill>
    </fill>
    <fill>
      <patternFill patternType="solid">
        <fgColor rgb="FF00B0F0"/>
        <bgColor rgb="FF33CCCC"/>
      </patternFill>
    </fill>
    <fill>
      <patternFill patternType="solid">
        <fgColor rgb="FFD6EAF8"/>
        <bgColor rgb="FFD5F5E3"/>
      </patternFill>
    </fill>
    <fill>
      <patternFill patternType="solid">
        <fgColor rgb="FFFFFFFF"/>
        <bgColor rgb="FFF9F9F9"/>
      </patternFill>
    </fill>
    <fill>
      <patternFill patternType="solid">
        <fgColor rgb="FFE4002B"/>
        <bgColor rgb="FF800000"/>
      </patternFill>
    </fill>
    <fill>
      <patternFill patternType="solid">
        <fgColor rgb="FFFFF0F0"/>
        <bgColor rgb="FFF9F9F9"/>
      </patternFill>
    </fill>
    <fill>
      <patternFill patternType="solid">
        <fgColor rgb="FFD5F5E3"/>
        <bgColor rgb="FFD6EAF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4002B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CCCCCC"/>
      <rgbColor rgb="FF878787"/>
      <rgbColor rgb="FF9999FF"/>
      <rgbColor rgb="FFC0504D"/>
      <rgbColor rgb="FFF9F9F9"/>
      <rgbColor rgb="FFD6EA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FFF0F0"/>
      <rgbColor rgb="FFD5F5E3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A500"/>
      <rgbColor rgb="FFFF6600"/>
      <rgbColor rgb="FF4F81BD"/>
      <rgbColor rgb="FF969696"/>
      <rgbColor rgb="FF001E5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Bookings by Brand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'Brand Analysis'!B3</c:f>
              <c:strCache>
                <c:ptCount val="1"/>
                <c:pt idx="0">
                  <c:v>Total Bookings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'Brand Analysis'!$A$4:$A$13</c:f>
              <c:strCache>
                <c:ptCount val="10"/>
                <c:pt idx="0">
                  <c:v>Audi</c:v>
                </c:pt>
                <c:pt idx="1">
                  <c:v>VW Passenger Cars</c:v>
                </c:pt>
                <c:pt idx="2">
                  <c:v>Skoda</c:v>
                </c:pt>
                <c:pt idx="3">
                  <c:v>VW Commercial Vehicles</c:v>
                </c:pt>
                <c:pt idx="4">
                  <c:v>CUPRA</c:v>
                </c:pt>
                <c:pt idx="5">
                  <c:v>SEAT</c:v>
                </c:pt>
                <c:pt idx="6">
                  <c:v>P&amp;B</c:v>
                </c:pt>
                <c:pt idx="7">
                  <c:v>VWG-UK</c:v>
                </c:pt>
                <c:pt idx="8">
                  <c:v>EXTERNAL</c:v>
                </c:pt>
                <c:pt idx="9">
                  <c:v>TPS</c:v>
                </c:pt>
              </c:strCache>
            </c:strRef>
          </c:cat>
          <c:val>
            <c:numRef>
              <c:f>'Brand Analysis'!$B$4:$B$13</c:f>
              <c:numCache>
                <c:formatCode>#,##0</c:formatCode>
                <c:ptCount val="10"/>
                <c:pt idx="0">
                  <c:v>10032</c:v>
                </c:pt>
                <c:pt idx="1">
                  <c:v>8781</c:v>
                </c:pt>
                <c:pt idx="2">
                  <c:v>5080</c:v>
                </c:pt>
                <c:pt idx="3">
                  <c:v>2613</c:v>
                </c:pt>
                <c:pt idx="4">
                  <c:v>1595</c:v>
                </c:pt>
                <c:pt idx="5">
                  <c:v>1373</c:v>
                </c:pt>
                <c:pt idx="6">
                  <c:v>1135</c:v>
                </c:pt>
                <c:pt idx="7">
                  <c:v>266</c:v>
                </c:pt>
                <c:pt idx="8">
                  <c:v>64</c:v>
                </c:pt>
                <c:pt idx="9">
                  <c:v>56</c:v>
                </c:pt>
              </c:numCache>
            </c:numRef>
          </c:val>
        </c:ser>
        <c:gapWidth val="150"/>
        <c:overlap val="0"/>
        <c:axId val="81936995"/>
        <c:axId val="45854885"/>
      </c:barChart>
      <c:catAx>
        <c:axId val="81936995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Bookings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854885"/>
        <c:crosses val="autoZero"/>
        <c:auto val="1"/>
        <c:lblAlgn val="ctr"/>
        <c:lblOffset val="100"/>
        <c:noMultiLvlLbl val="0"/>
      </c:catAx>
      <c:valAx>
        <c:axId val="458548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Brand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93699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Booking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'Monthly Trend'!B3</c:f>
              <c:strCache>
                <c:ptCount val="1"/>
                <c:pt idx="0">
                  <c:v>Total Bookings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Trend'!$A$4:$A$16</c:f>
              <c:strCache>
                <c:ptCount val="13"/>
                <c:pt idx="0">
                  <c:v>Jul 2024</c:v>
                </c:pt>
                <c:pt idx="1">
                  <c:v>Aug 2024</c:v>
                </c:pt>
                <c:pt idx="2">
                  <c:v>Sep 2024</c:v>
                </c:pt>
                <c:pt idx="3">
                  <c:v>Oct 2024</c:v>
                </c:pt>
                <c:pt idx="4">
                  <c:v>Nov 2024</c:v>
                </c:pt>
                <c:pt idx="5">
                  <c:v>Dec 2024</c:v>
                </c:pt>
                <c:pt idx="6">
                  <c:v>Jan 2025</c:v>
                </c:pt>
                <c:pt idx="7">
                  <c:v>Feb 2025</c:v>
                </c:pt>
                <c:pt idx="8">
                  <c:v>Mar 2025</c:v>
                </c:pt>
                <c:pt idx="9">
                  <c:v>Apr 2025</c:v>
                </c:pt>
                <c:pt idx="10">
                  <c:v>May 2025</c:v>
                </c:pt>
                <c:pt idx="11">
                  <c:v>Jun 2025</c:v>
                </c:pt>
                <c:pt idx="12">
                  <c:v>Jul 2025</c:v>
                </c:pt>
              </c:strCache>
            </c:strRef>
          </c:cat>
          <c:val>
            <c:numRef>
              <c:f>'Monthly Trend'!$B$4:$B$16</c:f>
              <c:numCache>
                <c:formatCode>#,##0</c:formatCode>
                <c:ptCount val="13"/>
                <c:pt idx="0">
                  <c:v>2803</c:v>
                </c:pt>
                <c:pt idx="1">
                  <c:v>2594</c:v>
                </c:pt>
                <c:pt idx="2">
                  <c:v>2925</c:v>
                </c:pt>
                <c:pt idx="3">
                  <c:v>2407</c:v>
                </c:pt>
                <c:pt idx="4">
                  <c:v>3427</c:v>
                </c:pt>
                <c:pt idx="5">
                  <c:v>2230</c:v>
                </c:pt>
                <c:pt idx="6">
                  <c:v>1991</c:v>
                </c:pt>
                <c:pt idx="7">
                  <c:v>2157</c:v>
                </c:pt>
                <c:pt idx="8">
                  <c:v>2123</c:v>
                </c:pt>
                <c:pt idx="9">
                  <c:v>2214</c:v>
                </c:pt>
                <c:pt idx="10">
                  <c:v>2005</c:v>
                </c:pt>
                <c:pt idx="11">
                  <c:v>2188</c:v>
                </c:pt>
                <c:pt idx="12">
                  <c:v>1932</c:v>
                </c:pt>
              </c:numCache>
            </c:numRef>
          </c:val>
        </c:ser>
        <c:ser>
          <c:idx val="1"/>
          <c:order val="1"/>
          <c:tx>
            <c:strRef>
              <c:f>'Monthly Trend'!C3</c:f>
              <c:strCache>
                <c:ptCount val="1"/>
                <c:pt idx="0">
                  <c:v>Completed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Trend'!$A$4:$A$16</c:f>
              <c:strCache>
                <c:ptCount val="13"/>
                <c:pt idx="0">
                  <c:v>Jul 2024</c:v>
                </c:pt>
                <c:pt idx="1">
                  <c:v>Aug 2024</c:v>
                </c:pt>
                <c:pt idx="2">
                  <c:v>Sep 2024</c:v>
                </c:pt>
                <c:pt idx="3">
                  <c:v>Oct 2024</c:v>
                </c:pt>
                <c:pt idx="4">
                  <c:v>Nov 2024</c:v>
                </c:pt>
                <c:pt idx="5">
                  <c:v>Dec 2024</c:v>
                </c:pt>
                <c:pt idx="6">
                  <c:v>Jan 2025</c:v>
                </c:pt>
                <c:pt idx="7">
                  <c:v>Feb 2025</c:v>
                </c:pt>
                <c:pt idx="8">
                  <c:v>Mar 2025</c:v>
                </c:pt>
                <c:pt idx="9">
                  <c:v>Apr 2025</c:v>
                </c:pt>
                <c:pt idx="10">
                  <c:v>May 2025</c:v>
                </c:pt>
                <c:pt idx="11">
                  <c:v>Jun 2025</c:v>
                </c:pt>
                <c:pt idx="12">
                  <c:v>Jul 2025</c:v>
                </c:pt>
              </c:strCache>
            </c:strRef>
          </c:cat>
          <c:val>
            <c:numRef>
              <c:f>'Monthly Trend'!$C$4:$C$16</c:f>
              <c:numCache>
                <c:formatCode>#,##0</c:formatCode>
                <c:ptCount val="13"/>
                <c:pt idx="0">
                  <c:v>2212</c:v>
                </c:pt>
                <c:pt idx="1">
                  <c:v>2031</c:v>
                </c:pt>
                <c:pt idx="2">
                  <c:v>2325</c:v>
                </c:pt>
                <c:pt idx="3">
                  <c:v>1961</c:v>
                </c:pt>
                <c:pt idx="4">
                  <c:v>2833</c:v>
                </c:pt>
                <c:pt idx="5">
                  <c:v>1725</c:v>
                </c:pt>
                <c:pt idx="6">
                  <c:v>1676</c:v>
                </c:pt>
                <c:pt idx="7">
                  <c:v>1787</c:v>
                </c:pt>
                <c:pt idx="8">
                  <c:v>1713</c:v>
                </c:pt>
                <c:pt idx="9">
                  <c:v>1754</c:v>
                </c:pt>
                <c:pt idx="10">
                  <c:v>1657</c:v>
                </c:pt>
                <c:pt idx="11">
                  <c:v>1769</c:v>
                </c:pt>
                <c:pt idx="12">
                  <c:v>1498</c:v>
                </c:pt>
              </c:numCache>
            </c:numRef>
          </c:val>
        </c:ser>
        <c:ser>
          <c:idx val="2"/>
          <c:order val="2"/>
          <c:tx>
            <c:strRef>
              <c:f>'Monthly Trend'!D3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Trend'!$A$4:$A$16</c:f>
              <c:strCache>
                <c:ptCount val="13"/>
                <c:pt idx="0">
                  <c:v>Jul 2024</c:v>
                </c:pt>
                <c:pt idx="1">
                  <c:v>Aug 2024</c:v>
                </c:pt>
                <c:pt idx="2">
                  <c:v>Sep 2024</c:v>
                </c:pt>
                <c:pt idx="3">
                  <c:v>Oct 2024</c:v>
                </c:pt>
                <c:pt idx="4">
                  <c:v>Nov 2024</c:v>
                </c:pt>
                <c:pt idx="5">
                  <c:v>Dec 2024</c:v>
                </c:pt>
                <c:pt idx="6">
                  <c:v>Jan 2025</c:v>
                </c:pt>
                <c:pt idx="7">
                  <c:v>Feb 2025</c:v>
                </c:pt>
                <c:pt idx="8">
                  <c:v>Mar 2025</c:v>
                </c:pt>
                <c:pt idx="9">
                  <c:v>Apr 2025</c:v>
                </c:pt>
                <c:pt idx="10">
                  <c:v>May 2025</c:v>
                </c:pt>
                <c:pt idx="11">
                  <c:v>Jun 2025</c:v>
                </c:pt>
                <c:pt idx="12">
                  <c:v>Jul 2025</c:v>
                </c:pt>
              </c:strCache>
            </c:strRef>
          </c:cat>
          <c:val>
            <c:numRef>
              <c:f>'Monthly Trend'!$D$4:$D$16</c:f>
              <c:numCache>
                <c:formatCode>#,##0</c:formatCode>
                <c:ptCount val="13"/>
                <c:pt idx="0">
                  <c:v>449</c:v>
                </c:pt>
                <c:pt idx="1">
                  <c:v>439</c:v>
                </c:pt>
                <c:pt idx="2">
                  <c:v>443</c:v>
                </c:pt>
                <c:pt idx="3">
                  <c:v>340</c:v>
                </c:pt>
                <c:pt idx="4">
                  <c:v>445</c:v>
                </c:pt>
                <c:pt idx="5">
                  <c:v>392</c:v>
                </c:pt>
                <c:pt idx="6">
                  <c:v>253</c:v>
                </c:pt>
                <c:pt idx="7">
                  <c:v>321</c:v>
                </c:pt>
                <c:pt idx="8">
                  <c:v>315</c:v>
                </c:pt>
                <c:pt idx="9">
                  <c:v>299</c:v>
                </c:pt>
                <c:pt idx="10">
                  <c:v>267</c:v>
                </c:pt>
                <c:pt idx="11">
                  <c:v>333</c:v>
                </c:pt>
                <c:pt idx="12">
                  <c:v>330</c:v>
                </c:pt>
              </c:numCache>
            </c:numRef>
          </c:val>
        </c:ser>
        <c:gapWidth val="150"/>
        <c:overlap val="0"/>
        <c:axId val="45979807"/>
        <c:axId val="49388629"/>
      </c:barChart>
      <c:catAx>
        <c:axId val="459798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388629"/>
        <c:crosses val="autoZero"/>
        <c:auto val="1"/>
        <c:lblAlgn val="ctr"/>
        <c:lblOffset val="100"/>
        <c:noMultiLvlLbl val="0"/>
      </c:catAx>
      <c:valAx>
        <c:axId val="493886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Bookings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9798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0</xdr:rowOff>
    </xdr:from>
    <xdr:to>
      <xdr:col>19</xdr:col>
      <xdr:colOff>364320</xdr:colOff>
      <xdr:row>23</xdr:row>
      <xdr:rowOff>128160</xdr:rowOff>
    </xdr:to>
    <xdr:graphicFrame>
      <xdr:nvGraphicFramePr>
        <xdr:cNvPr id="0" name="Chart 1"/>
        <xdr:cNvGraphicFramePr/>
      </xdr:nvGraphicFramePr>
      <xdr:xfrm>
        <a:off x="9774720" y="628560"/>
        <a:ext cx="647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0</xdr:rowOff>
    </xdr:from>
    <xdr:to>
      <xdr:col>18</xdr:col>
      <xdr:colOff>472680</xdr:colOff>
      <xdr:row>24</xdr:row>
      <xdr:rowOff>128160</xdr:rowOff>
    </xdr:to>
    <xdr:graphicFrame>
      <xdr:nvGraphicFramePr>
        <xdr:cNvPr id="1" name="Chart 1"/>
        <xdr:cNvGraphicFramePr/>
      </xdr:nvGraphicFramePr>
      <xdr:xfrm>
        <a:off x="6673320" y="628560"/>
        <a:ext cx="719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1" width="18"/>
  </cols>
  <sheetData>
    <row r="1" customFormat="false" ht="39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9.5" hidden="false" customHeight="true" outlineLevel="0" collapsed="false"/>
    <row r="3" customFormat="false" ht="1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</row>
    <row r="4" customFormat="false" ht="21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customFormat="false" ht="30" hidden="false" customHeight="true" outlineLevel="0" collapsed="false">
      <c r="A5" s="5" t="n">
        <v>30996</v>
      </c>
      <c r="B5" s="5" t="n">
        <v>24941</v>
      </c>
      <c r="C5" s="6" t="n">
        <v>4626</v>
      </c>
      <c r="D5" s="7" t="n">
        <v>1257</v>
      </c>
      <c r="E5" s="8" t="n">
        <f aca="false">C5/B5</f>
        <v>0.185477727436751</v>
      </c>
      <c r="F5" s="9" t="n">
        <f aca="false">D5/B5</f>
        <v>0.0503989415019446</v>
      </c>
      <c r="G5" s="10" t="n">
        <f aca="false">E5/B5</f>
        <v>7.43665961415945E-006</v>
      </c>
      <c r="H5" s="8" t="n">
        <v>0.8894</v>
      </c>
    </row>
    <row r="7" customFormat="false" ht="15" hidden="false" customHeight="true" outlineLevel="0" collapsed="false">
      <c r="A7" s="3" t="s">
        <v>10</v>
      </c>
      <c r="B7" s="3"/>
      <c r="C7" s="3"/>
      <c r="D7" s="3"/>
      <c r="E7" s="3"/>
      <c r="F7" s="3"/>
      <c r="G7" s="3"/>
      <c r="H7" s="3"/>
    </row>
    <row r="8" customFormat="false" ht="21.75" hidden="false" customHeight="true" outlineLevel="0" collapsed="false">
      <c r="A8" s="4" t="s">
        <v>11</v>
      </c>
      <c r="B8" s="11" t="s">
        <v>12</v>
      </c>
      <c r="C8" s="11"/>
      <c r="D8" s="11"/>
      <c r="E8" s="11"/>
      <c r="F8" s="11"/>
      <c r="G8" s="11"/>
      <c r="H8" s="11"/>
    </row>
    <row r="9" customFormat="false" ht="21.75" hidden="false" customHeight="true" outlineLevel="0" collapsed="false">
      <c r="A9" s="12" t="s">
        <v>13</v>
      </c>
      <c r="B9" s="13" t="s">
        <v>14</v>
      </c>
      <c r="C9" s="13"/>
      <c r="D9" s="13"/>
      <c r="E9" s="13"/>
      <c r="F9" s="13"/>
      <c r="G9" s="13"/>
      <c r="H9" s="13"/>
    </row>
    <row r="10" customFormat="false" ht="21.75" hidden="false" customHeight="true" outlineLevel="0" collapsed="false">
      <c r="A10" s="4" t="s">
        <v>15</v>
      </c>
      <c r="B10" s="11" t="s">
        <v>16</v>
      </c>
      <c r="C10" s="11"/>
      <c r="D10" s="11"/>
      <c r="E10" s="11"/>
      <c r="F10" s="11"/>
      <c r="G10" s="11"/>
      <c r="H10" s="11"/>
    </row>
    <row r="11" customFormat="false" ht="21.75" hidden="false" customHeight="true" outlineLevel="0" collapsed="false">
      <c r="A11" s="12" t="s">
        <v>17</v>
      </c>
      <c r="B11" s="13" t="s">
        <v>18</v>
      </c>
      <c r="C11" s="13"/>
      <c r="D11" s="13"/>
      <c r="E11" s="13"/>
      <c r="F11" s="13"/>
      <c r="G11" s="13"/>
      <c r="H11" s="13"/>
    </row>
    <row r="12" customFormat="false" ht="21.75" hidden="false" customHeight="true" outlineLevel="0" collapsed="false">
      <c r="A12" s="4" t="s">
        <v>19</v>
      </c>
      <c r="B12" s="11" t="s">
        <v>20</v>
      </c>
      <c r="C12" s="11"/>
      <c r="D12" s="11"/>
      <c r="E12" s="11"/>
      <c r="F12" s="11"/>
      <c r="G12" s="11"/>
      <c r="H12" s="11"/>
    </row>
    <row r="13" customFormat="false" ht="21.75" hidden="false" customHeight="true" outlineLevel="0" collapsed="false">
      <c r="A13" s="12" t="s">
        <v>21</v>
      </c>
      <c r="B13" s="13" t="s">
        <v>22</v>
      </c>
      <c r="C13" s="13"/>
      <c r="D13" s="13"/>
      <c r="E13" s="13"/>
      <c r="F13" s="13"/>
      <c r="G13" s="13"/>
      <c r="H13" s="13"/>
    </row>
    <row r="14" customFormat="false" ht="21.75" hidden="false" customHeight="true" outlineLevel="0" collapsed="false">
      <c r="A14" s="4" t="s">
        <v>23</v>
      </c>
      <c r="B14" s="11" t="s">
        <v>24</v>
      </c>
      <c r="C14" s="11"/>
      <c r="D14" s="11"/>
      <c r="E14" s="11"/>
      <c r="F14" s="11"/>
      <c r="G14" s="11"/>
      <c r="H14" s="11"/>
    </row>
    <row r="15" customFormat="false" ht="21.75" hidden="false" customHeight="true" outlineLevel="0" collapsed="false">
      <c r="A15" s="12" t="s">
        <v>25</v>
      </c>
      <c r="B15" s="13" t="s">
        <v>26</v>
      </c>
      <c r="C15" s="13"/>
      <c r="D15" s="13"/>
      <c r="E15" s="13"/>
      <c r="F15" s="13"/>
      <c r="G15" s="13"/>
      <c r="H15" s="13"/>
    </row>
  </sheetData>
  <mergeCells count="11">
    <mergeCell ref="A1:H1"/>
    <mergeCell ref="A3:H3"/>
    <mergeCell ref="A7:H7"/>
    <mergeCell ref="B8:H8"/>
    <mergeCell ref="B9:H9"/>
    <mergeCell ref="B10:H10"/>
    <mergeCell ref="B11:H11"/>
    <mergeCell ref="B12:H12"/>
    <mergeCell ref="B13:H13"/>
    <mergeCell ref="B14:H14"/>
    <mergeCell ref="B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16"/>
    <col collapsed="false" customWidth="true" hidden="false" outlineLevel="0" max="4" min="3" style="1" width="14"/>
    <col collapsed="false" customWidth="true" hidden="false" outlineLevel="0" max="5" min="5" style="1" width="12"/>
    <col collapsed="false" customWidth="true" hidden="false" outlineLevel="0" max="6" min="6" style="1" width="17"/>
    <col collapsed="false" customWidth="true" hidden="false" outlineLevel="0" max="7" min="7" style="1" width="18"/>
    <col collapsed="false" customWidth="true" hidden="false" outlineLevel="0" max="8" min="8" style="1" width="14"/>
  </cols>
  <sheetData>
    <row r="1" customFormat="false" ht="34.5" hidden="false" customHeight="true" outlineLevel="0" collapsed="false">
      <c r="A1" s="14" t="s">
        <v>27</v>
      </c>
      <c r="B1" s="14"/>
      <c r="C1" s="14"/>
      <c r="D1" s="14"/>
      <c r="E1" s="14"/>
      <c r="F1" s="14"/>
      <c r="G1" s="14"/>
      <c r="H1" s="14"/>
    </row>
    <row r="3" customFormat="false" ht="30" hidden="false" customHeight="true" outlineLevel="0" collapsed="false">
      <c r="A3" s="15" t="s">
        <v>28</v>
      </c>
      <c r="B3" s="15" t="s">
        <v>2</v>
      </c>
      <c r="C3" s="15" t="s">
        <v>3</v>
      </c>
      <c r="D3" s="15" t="s">
        <v>4</v>
      </c>
      <c r="E3" s="15" t="s">
        <v>5</v>
      </c>
      <c r="F3" s="15" t="s">
        <v>6</v>
      </c>
      <c r="G3" s="15" t="s">
        <v>7</v>
      </c>
      <c r="H3" s="15" t="s">
        <v>8</v>
      </c>
    </row>
    <row r="4" customFormat="false" ht="15" hidden="false" customHeight="true" outlineLevel="0" collapsed="false">
      <c r="A4" s="16" t="s">
        <v>29</v>
      </c>
      <c r="B4" s="17" t="n">
        <v>10032</v>
      </c>
      <c r="C4" s="17" t="n">
        <v>8054</v>
      </c>
      <c r="D4" s="17" t="n">
        <v>1538</v>
      </c>
      <c r="E4" s="17" t="n">
        <v>422</v>
      </c>
      <c r="F4" s="18" t="n">
        <f aca="false">C4/B4</f>
        <v>0.802830940988836</v>
      </c>
      <c r="G4" s="18" t="n">
        <f aca="false">D4/B4</f>
        <v>0.153309409888357</v>
      </c>
      <c r="H4" s="18" t="n">
        <f aca="false">E4/B4</f>
        <v>0.0420653907496013</v>
      </c>
    </row>
    <row r="5" customFormat="false" ht="15" hidden="false" customHeight="true" outlineLevel="0" collapsed="false">
      <c r="A5" s="19" t="s">
        <v>30</v>
      </c>
      <c r="B5" s="20" t="n">
        <v>8781</v>
      </c>
      <c r="C5" s="20" t="n">
        <v>7244</v>
      </c>
      <c r="D5" s="20" t="n">
        <v>1164</v>
      </c>
      <c r="E5" s="20" t="n">
        <v>354</v>
      </c>
      <c r="F5" s="21" t="n">
        <f aca="false">C5/B5</f>
        <v>0.824962988270129</v>
      </c>
      <c r="G5" s="21" t="n">
        <f aca="false">D5/B5</f>
        <v>0.13255893406218</v>
      </c>
      <c r="H5" s="21" t="n">
        <f aca="false">E5/B5</f>
        <v>0.0403143149982918</v>
      </c>
    </row>
    <row r="6" customFormat="false" ht="15" hidden="false" customHeight="true" outlineLevel="0" collapsed="false">
      <c r="A6" s="16" t="s">
        <v>31</v>
      </c>
      <c r="B6" s="17" t="n">
        <v>5080</v>
      </c>
      <c r="C6" s="17" t="n">
        <v>4229</v>
      </c>
      <c r="D6" s="17" t="n">
        <v>666</v>
      </c>
      <c r="E6" s="17" t="n">
        <v>149</v>
      </c>
      <c r="F6" s="18" t="n">
        <f aca="false">C6/B6</f>
        <v>0.83248031496063</v>
      </c>
      <c r="G6" s="18" t="n">
        <f aca="false">D6/B6</f>
        <v>0.131102362204724</v>
      </c>
      <c r="H6" s="18" t="n">
        <f aca="false">E6/B6</f>
        <v>0.0293307086614173</v>
      </c>
    </row>
    <row r="7" customFormat="false" ht="15" hidden="false" customHeight="true" outlineLevel="0" collapsed="false">
      <c r="A7" s="19" t="s">
        <v>32</v>
      </c>
      <c r="B7" s="20" t="n">
        <v>2613</v>
      </c>
      <c r="C7" s="20" t="n">
        <v>2058</v>
      </c>
      <c r="D7" s="20" t="n">
        <v>385</v>
      </c>
      <c r="E7" s="20" t="n">
        <v>114</v>
      </c>
      <c r="F7" s="21" t="n">
        <f aca="false">C7/B7</f>
        <v>0.78760045924225</v>
      </c>
      <c r="G7" s="21" t="n">
        <f aca="false">D7/B7</f>
        <v>0.147340221967088</v>
      </c>
      <c r="H7" s="21" t="n">
        <f aca="false">E7/B7</f>
        <v>0.0436280137772675</v>
      </c>
    </row>
    <row r="8" customFormat="false" ht="15" hidden="false" customHeight="true" outlineLevel="0" collapsed="false">
      <c r="A8" s="16" t="s">
        <v>33</v>
      </c>
      <c r="B8" s="17" t="n">
        <v>1595</v>
      </c>
      <c r="C8" s="17" t="n">
        <v>1263</v>
      </c>
      <c r="D8" s="17" t="n">
        <v>238</v>
      </c>
      <c r="E8" s="17" t="n">
        <v>89</v>
      </c>
      <c r="F8" s="18" t="n">
        <f aca="false">C8/B8</f>
        <v>0.791849529780564</v>
      </c>
      <c r="G8" s="18" t="n">
        <f aca="false">D8/B8</f>
        <v>0.149216300940439</v>
      </c>
      <c r="H8" s="18" t="n">
        <f aca="false">E8/B8</f>
        <v>0.0557993730407524</v>
      </c>
    </row>
    <row r="9" customFormat="false" ht="15" hidden="false" customHeight="true" outlineLevel="0" collapsed="false">
      <c r="A9" s="19" t="s">
        <v>34</v>
      </c>
      <c r="B9" s="20" t="n">
        <v>1373</v>
      </c>
      <c r="C9" s="20" t="n">
        <v>1120</v>
      </c>
      <c r="D9" s="20" t="n">
        <v>206</v>
      </c>
      <c r="E9" s="20" t="n">
        <v>47</v>
      </c>
      <c r="F9" s="21" t="n">
        <f aca="false">C9/B9</f>
        <v>0.815731973780044</v>
      </c>
      <c r="G9" s="21" t="n">
        <f aca="false">D9/B9</f>
        <v>0.150036416605972</v>
      </c>
      <c r="H9" s="21" t="n">
        <f aca="false">E9/B9</f>
        <v>0.034231609613984</v>
      </c>
    </row>
    <row r="10" customFormat="false" ht="15" hidden="false" customHeight="true" outlineLevel="0" collapsed="false">
      <c r="A10" s="16" t="s">
        <v>35</v>
      </c>
      <c r="B10" s="17" t="n">
        <v>1135</v>
      </c>
      <c r="C10" s="17" t="n">
        <v>703</v>
      </c>
      <c r="D10" s="17" t="n">
        <v>340</v>
      </c>
      <c r="E10" s="17" t="n">
        <v>66</v>
      </c>
      <c r="F10" s="18" t="n">
        <f aca="false">C10/B10</f>
        <v>0.619383259911894</v>
      </c>
      <c r="G10" s="22" t="n">
        <f aca="false">D10/B10</f>
        <v>0.299559471365639</v>
      </c>
      <c r="H10" s="18" t="n">
        <f aca="false">E10/B10</f>
        <v>0.0581497797356828</v>
      </c>
    </row>
    <row r="11" customFormat="false" ht="15" hidden="false" customHeight="true" outlineLevel="0" collapsed="false">
      <c r="A11" s="19" t="s">
        <v>36</v>
      </c>
      <c r="B11" s="20" t="n">
        <v>266</v>
      </c>
      <c r="C11" s="20" t="n">
        <v>176</v>
      </c>
      <c r="D11" s="20" t="n">
        <v>73</v>
      </c>
      <c r="E11" s="20" t="n">
        <v>5</v>
      </c>
      <c r="F11" s="21" t="n">
        <f aca="false">C11/B11</f>
        <v>0.661654135338346</v>
      </c>
      <c r="G11" s="21" t="n">
        <f aca="false">D11/B11</f>
        <v>0.274436090225564</v>
      </c>
      <c r="H11" s="21" t="n">
        <f aca="false">E11/B11</f>
        <v>0.018796992481203</v>
      </c>
    </row>
    <row r="12" customFormat="false" ht="15" hidden="false" customHeight="true" outlineLevel="0" collapsed="false">
      <c r="A12" s="16" t="s">
        <v>37</v>
      </c>
      <c r="B12" s="17" t="n">
        <v>64</v>
      </c>
      <c r="C12" s="17" t="n">
        <v>51</v>
      </c>
      <c r="D12" s="17" t="n">
        <v>11</v>
      </c>
      <c r="E12" s="17" t="n">
        <v>2</v>
      </c>
      <c r="F12" s="18" t="n">
        <f aca="false">C12/B12</f>
        <v>0.796875</v>
      </c>
      <c r="G12" s="18" t="n">
        <f aca="false">D12/B12</f>
        <v>0.171875</v>
      </c>
      <c r="H12" s="18" t="n">
        <f aca="false">E12/B12</f>
        <v>0.03125</v>
      </c>
    </row>
    <row r="13" customFormat="false" ht="15" hidden="false" customHeight="true" outlineLevel="0" collapsed="false">
      <c r="A13" s="19" t="s">
        <v>38</v>
      </c>
      <c r="B13" s="20" t="n">
        <v>56</v>
      </c>
      <c r="C13" s="20" t="n">
        <v>42</v>
      </c>
      <c r="D13" s="20" t="n">
        <v>5</v>
      </c>
      <c r="E13" s="20" t="n">
        <v>9</v>
      </c>
      <c r="F13" s="21" t="n">
        <f aca="false">C13/B13</f>
        <v>0.75</v>
      </c>
      <c r="G13" s="21" t="n">
        <f aca="false">D13/B13</f>
        <v>0.0892857142857143</v>
      </c>
      <c r="H13" s="21" t="n">
        <f aca="false">E13/B13</f>
        <v>0.160714285714286</v>
      </c>
    </row>
    <row r="14" customFormat="false" ht="15" hidden="false" customHeight="true" outlineLevel="0" collapsed="false">
      <c r="A14" s="23" t="s">
        <v>39</v>
      </c>
      <c r="B14" s="24" t="n">
        <f aca="false">SUM(B4:B13)</f>
        <v>30995</v>
      </c>
      <c r="C14" s="24" t="n">
        <f aca="false">SUM(C4:C13)</f>
        <v>24940</v>
      </c>
      <c r="D14" s="24" t="n">
        <f aca="false">SUM(D4:D13)</f>
        <v>4626</v>
      </c>
      <c r="E14" s="24" t="n">
        <f aca="false">SUM(E4:E13)</f>
        <v>1257</v>
      </c>
      <c r="F14" s="25" t="n">
        <f aca="false">C14/B14</f>
        <v>0.804645910630747</v>
      </c>
      <c r="G14" s="25" t="n">
        <f aca="false">D14/B14</f>
        <v>0.149249879012744</v>
      </c>
      <c r="H14" s="25" t="n">
        <f aca="false">E14/B14</f>
        <v>0.0405549282142281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40"/>
    <col collapsed="false" customWidth="true" hidden="false" outlineLevel="0" max="3" min="3" style="1" width="8"/>
    <col collapsed="false" customWidth="true" hidden="false" outlineLevel="0" max="6" min="4" style="1" width="16"/>
    <col collapsed="false" customWidth="true" hidden="false" outlineLevel="0" max="7" min="7" style="1" width="14"/>
  </cols>
  <sheetData>
    <row r="1" customFormat="false" ht="34.5" hidden="false" customHeight="true" outlineLevel="0" collapsed="false">
      <c r="A1" s="14" t="s">
        <v>40</v>
      </c>
      <c r="B1" s="14"/>
      <c r="C1" s="14"/>
      <c r="D1" s="14"/>
      <c r="E1" s="14"/>
      <c r="F1" s="14"/>
      <c r="G1" s="14"/>
    </row>
    <row r="3" customFormat="false" ht="15" hidden="false" customHeight="true" outlineLevel="0" collapsed="false">
      <c r="A3" s="3" t="s">
        <v>41</v>
      </c>
      <c r="B3" s="3"/>
      <c r="C3" s="3"/>
      <c r="D3" s="3"/>
      <c r="E3" s="3"/>
      <c r="F3" s="3"/>
      <c r="G3" s="3"/>
    </row>
    <row r="4" customFormat="false" ht="15" hidden="false" customHeight="true" outlineLevel="0" collapsed="false">
      <c r="A4" s="15" t="s">
        <v>42</v>
      </c>
      <c r="B4" s="15" t="s">
        <v>43</v>
      </c>
      <c r="C4" s="15" t="s">
        <v>44</v>
      </c>
      <c r="D4" s="15" t="s">
        <v>2</v>
      </c>
      <c r="E4" s="15" t="s">
        <v>45</v>
      </c>
      <c r="F4" s="15" t="s">
        <v>9</v>
      </c>
      <c r="G4" s="15" t="s">
        <v>46</v>
      </c>
    </row>
    <row r="5" customFormat="false" ht="15" hidden="false" customHeight="true" outlineLevel="0" collapsed="false">
      <c r="A5" s="16" t="s">
        <v>47</v>
      </c>
      <c r="B5" s="16" t="s">
        <v>48</v>
      </c>
      <c r="C5" s="26" t="n">
        <v>2</v>
      </c>
      <c r="D5" s="26" t="n">
        <v>28</v>
      </c>
      <c r="E5" s="26" t="n">
        <v>23</v>
      </c>
      <c r="F5" s="18" t="n">
        <v>1.25</v>
      </c>
      <c r="G5" s="27" t="s">
        <v>49</v>
      </c>
    </row>
    <row r="6" customFormat="false" ht="15" hidden="false" customHeight="true" outlineLevel="0" collapsed="false">
      <c r="A6" s="19" t="s">
        <v>50</v>
      </c>
      <c r="B6" s="19" t="s">
        <v>51</v>
      </c>
      <c r="C6" s="28" t="n">
        <v>12</v>
      </c>
      <c r="D6" s="28" t="n">
        <v>72</v>
      </c>
      <c r="E6" s="28" t="n">
        <v>72</v>
      </c>
      <c r="F6" s="21" t="n">
        <v>1</v>
      </c>
      <c r="G6" s="29" t="s">
        <v>52</v>
      </c>
    </row>
    <row r="7" customFormat="false" ht="15" hidden="false" customHeight="true" outlineLevel="0" collapsed="false">
      <c r="A7" s="16" t="s">
        <v>53</v>
      </c>
      <c r="B7" s="16" t="s">
        <v>54</v>
      </c>
      <c r="C7" s="26" t="n">
        <v>2</v>
      </c>
      <c r="D7" s="26" t="n">
        <v>16</v>
      </c>
      <c r="E7" s="26" t="n">
        <v>16</v>
      </c>
      <c r="F7" s="18" t="n">
        <v>1</v>
      </c>
      <c r="G7" s="30" t="s">
        <v>52</v>
      </c>
    </row>
    <row r="8" customFormat="false" ht="15" hidden="false" customHeight="true" outlineLevel="0" collapsed="false">
      <c r="A8" s="19" t="s">
        <v>55</v>
      </c>
      <c r="B8" s="19" t="s">
        <v>56</v>
      </c>
      <c r="C8" s="28" t="n">
        <v>1</v>
      </c>
      <c r="D8" s="28" t="n">
        <v>6</v>
      </c>
      <c r="E8" s="28" t="n">
        <v>6</v>
      </c>
      <c r="F8" s="21" t="n">
        <v>1</v>
      </c>
      <c r="G8" s="29" t="s">
        <v>52</v>
      </c>
    </row>
    <row r="9" customFormat="false" ht="15" hidden="false" customHeight="true" outlineLevel="0" collapsed="false">
      <c r="A9" s="16" t="s">
        <v>57</v>
      </c>
      <c r="B9" s="16" t="s">
        <v>58</v>
      </c>
      <c r="C9" s="26" t="n">
        <v>12</v>
      </c>
      <c r="D9" s="26" t="n">
        <v>142</v>
      </c>
      <c r="E9" s="26" t="n">
        <v>144</v>
      </c>
      <c r="F9" s="18" t="n">
        <v>0.986</v>
      </c>
      <c r="G9" s="16" t="s">
        <v>59</v>
      </c>
    </row>
    <row r="10" customFormat="false" ht="15" hidden="false" customHeight="true" outlineLevel="0" collapsed="false">
      <c r="A10" s="19" t="s">
        <v>60</v>
      </c>
      <c r="B10" s="19" t="s">
        <v>61</v>
      </c>
      <c r="C10" s="28" t="n">
        <v>39</v>
      </c>
      <c r="D10" s="28" t="n">
        <v>440</v>
      </c>
      <c r="E10" s="28" t="n">
        <v>451</v>
      </c>
      <c r="F10" s="21" t="n">
        <v>0.979</v>
      </c>
      <c r="G10" s="19" t="s">
        <v>59</v>
      </c>
    </row>
    <row r="11" customFormat="false" ht="15" hidden="false" customHeight="true" outlineLevel="0" collapsed="false">
      <c r="A11" s="16" t="s">
        <v>62</v>
      </c>
      <c r="B11" s="16" t="s">
        <v>63</v>
      </c>
      <c r="C11" s="26" t="n">
        <v>15</v>
      </c>
      <c r="D11" s="26" t="n">
        <v>147</v>
      </c>
      <c r="E11" s="26" t="n">
        <v>151</v>
      </c>
      <c r="F11" s="18" t="n">
        <v>0.974</v>
      </c>
      <c r="G11" s="16" t="s">
        <v>59</v>
      </c>
    </row>
    <row r="12" customFormat="false" ht="15" hidden="false" customHeight="true" outlineLevel="0" collapsed="false">
      <c r="A12" s="19" t="s">
        <v>64</v>
      </c>
      <c r="B12" s="19" t="s">
        <v>65</v>
      </c>
      <c r="C12" s="28" t="n">
        <v>22</v>
      </c>
      <c r="D12" s="28" t="n">
        <v>148</v>
      </c>
      <c r="E12" s="28" t="n">
        <v>153</v>
      </c>
      <c r="F12" s="21" t="n">
        <v>0.968</v>
      </c>
      <c r="G12" s="19" t="s">
        <v>59</v>
      </c>
    </row>
    <row r="13" customFormat="false" ht="15" hidden="false" customHeight="true" outlineLevel="0" collapsed="false">
      <c r="A13" s="16" t="s">
        <v>66</v>
      </c>
      <c r="B13" s="16" t="s">
        <v>67</v>
      </c>
      <c r="C13" s="26" t="n">
        <v>10</v>
      </c>
      <c r="D13" s="26" t="n">
        <v>87</v>
      </c>
      <c r="E13" s="26" t="n">
        <v>90</v>
      </c>
      <c r="F13" s="18" t="n">
        <v>0.967</v>
      </c>
      <c r="G13" s="16" t="s">
        <v>59</v>
      </c>
    </row>
    <row r="14" customFormat="false" ht="15" hidden="false" customHeight="true" outlineLevel="0" collapsed="false">
      <c r="A14" s="19" t="s">
        <v>68</v>
      </c>
      <c r="B14" s="19" t="s">
        <v>69</v>
      </c>
      <c r="C14" s="28" t="n">
        <v>23</v>
      </c>
      <c r="D14" s="28" t="n">
        <v>201</v>
      </c>
      <c r="E14" s="28" t="n">
        <v>208</v>
      </c>
      <c r="F14" s="21" t="n">
        <v>0.966</v>
      </c>
      <c r="G14" s="19" t="s">
        <v>59</v>
      </c>
    </row>
    <row r="17" customFormat="false" ht="15" hidden="false" customHeight="true" outlineLevel="0" collapsed="false">
      <c r="A17" s="31" t="s">
        <v>70</v>
      </c>
      <c r="B17" s="31"/>
      <c r="C17" s="31"/>
      <c r="D17" s="31"/>
      <c r="E17" s="31"/>
      <c r="F17" s="31"/>
      <c r="G17" s="31"/>
    </row>
    <row r="18" customFormat="false" ht="15" hidden="false" customHeight="true" outlineLevel="0" collapsed="false">
      <c r="A18" s="15" t="s">
        <v>42</v>
      </c>
      <c r="B18" s="15" t="s">
        <v>43</v>
      </c>
      <c r="C18" s="15" t="s">
        <v>44</v>
      </c>
      <c r="D18" s="15" t="s">
        <v>2</v>
      </c>
      <c r="E18" s="15" t="s">
        <v>45</v>
      </c>
      <c r="F18" s="15" t="s">
        <v>9</v>
      </c>
      <c r="G18" s="15" t="s">
        <v>46</v>
      </c>
    </row>
    <row r="19" customFormat="false" ht="15" hidden="false" customHeight="true" outlineLevel="0" collapsed="false">
      <c r="A19" s="32" t="s">
        <v>71</v>
      </c>
      <c r="B19" s="32" t="s">
        <v>72</v>
      </c>
      <c r="C19" s="33" t="n">
        <v>5</v>
      </c>
      <c r="D19" s="33" t="n">
        <v>14</v>
      </c>
      <c r="E19" s="33" t="n">
        <v>41</v>
      </c>
      <c r="F19" s="34" t="n">
        <v>0.4</v>
      </c>
      <c r="G19" s="35" t="s">
        <v>73</v>
      </c>
    </row>
    <row r="20" customFormat="false" ht="15" hidden="false" customHeight="true" outlineLevel="0" collapsed="false">
      <c r="A20" s="19" t="s">
        <v>74</v>
      </c>
      <c r="B20" s="19" t="s">
        <v>75</v>
      </c>
      <c r="C20" s="28" t="n">
        <v>5</v>
      </c>
      <c r="D20" s="28" t="n">
        <v>19</v>
      </c>
      <c r="E20" s="28" t="n">
        <v>43</v>
      </c>
      <c r="F20" s="21" t="n">
        <v>0.47</v>
      </c>
      <c r="G20" s="36" t="s">
        <v>73</v>
      </c>
    </row>
    <row r="21" customFormat="false" ht="15" hidden="false" customHeight="true" outlineLevel="0" collapsed="false">
      <c r="A21" s="32" t="s">
        <v>76</v>
      </c>
      <c r="B21" s="32" t="s">
        <v>77</v>
      </c>
      <c r="C21" s="33" t="n">
        <v>6</v>
      </c>
      <c r="D21" s="33" t="n">
        <v>30</v>
      </c>
      <c r="E21" s="33" t="n">
        <v>54</v>
      </c>
      <c r="F21" s="34" t="n">
        <v>0.56</v>
      </c>
      <c r="G21" s="35" t="s">
        <v>73</v>
      </c>
    </row>
    <row r="22" customFormat="false" ht="15" hidden="false" customHeight="true" outlineLevel="0" collapsed="false">
      <c r="A22" s="19" t="s">
        <v>78</v>
      </c>
      <c r="B22" s="19" t="s">
        <v>79</v>
      </c>
      <c r="C22" s="28" t="n">
        <v>4</v>
      </c>
      <c r="D22" s="28" t="n">
        <v>21</v>
      </c>
      <c r="E22" s="28" t="n">
        <v>36</v>
      </c>
      <c r="F22" s="21" t="n">
        <v>0.58</v>
      </c>
      <c r="G22" s="36" t="s">
        <v>73</v>
      </c>
    </row>
    <row r="23" customFormat="false" ht="15" hidden="false" customHeight="true" outlineLevel="0" collapsed="false">
      <c r="A23" s="32" t="s">
        <v>80</v>
      </c>
      <c r="B23" s="32" t="s">
        <v>81</v>
      </c>
      <c r="C23" s="33" t="n">
        <v>6</v>
      </c>
      <c r="D23" s="33" t="n">
        <v>34</v>
      </c>
      <c r="E23" s="33" t="n">
        <v>54</v>
      </c>
      <c r="F23" s="34" t="n">
        <v>0.63</v>
      </c>
      <c r="G23" s="35" t="s">
        <v>73</v>
      </c>
    </row>
    <row r="24" customFormat="false" ht="15" hidden="false" customHeight="true" outlineLevel="0" collapsed="false">
      <c r="A24" s="19" t="s">
        <v>82</v>
      </c>
      <c r="B24" s="19" t="s">
        <v>83</v>
      </c>
      <c r="C24" s="28" t="n">
        <v>5</v>
      </c>
      <c r="D24" s="28" t="n">
        <v>28</v>
      </c>
      <c r="E24" s="28" t="n">
        <v>45</v>
      </c>
      <c r="F24" s="21" t="n">
        <v>0.62</v>
      </c>
      <c r="G24" s="36" t="s">
        <v>73</v>
      </c>
    </row>
    <row r="25" customFormat="false" ht="15" hidden="false" customHeight="true" outlineLevel="0" collapsed="false">
      <c r="A25" s="32" t="s">
        <v>84</v>
      </c>
      <c r="B25" s="32" t="s">
        <v>85</v>
      </c>
      <c r="C25" s="33" t="n">
        <v>1</v>
      </c>
      <c r="D25" s="33" t="n">
        <v>3</v>
      </c>
      <c r="E25" s="33" t="n">
        <v>6</v>
      </c>
      <c r="F25" s="34" t="n">
        <v>0.5</v>
      </c>
      <c r="G25" s="35" t="s">
        <v>73</v>
      </c>
    </row>
    <row r="26" customFormat="false" ht="15" hidden="false" customHeight="true" outlineLevel="0" collapsed="false">
      <c r="A26" s="19" t="s">
        <v>86</v>
      </c>
      <c r="B26" s="19" t="s">
        <v>87</v>
      </c>
      <c r="C26" s="28" t="n">
        <v>1</v>
      </c>
      <c r="D26" s="28" t="n">
        <v>2</v>
      </c>
      <c r="E26" s="28" t="n">
        <v>12</v>
      </c>
      <c r="F26" s="21" t="n">
        <v>0.17</v>
      </c>
      <c r="G26" s="37" t="s">
        <v>88</v>
      </c>
    </row>
    <row r="27" customFormat="false" ht="15" hidden="false" customHeight="true" outlineLevel="0" collapsed="false">
      <c r="A27" s="32" t="s">
        <v>89</v>
      </c>
      <c r="B27" s="32" t="s">
        <v>90</v>
      </c>
      <c r="C27" s="33" t="n">
        <v>1</v>
      </c>
      <c r="D27" s="33" t="n">
        <v>3</v>
      </c>
      <c r="E27" s="33" t="n">
        <v>9</v>
      </c>
      <c r="F27" s="34" t="n">
        <v>0.33</v>
      </c>
      <c r="G27" s="38" t="s">
        <v>88</v>
      </c>
    </row>
    <row r="28" customFormat="false" ht="15" hidden="false" customHeight="true" outlineLevel="0" collapsed="false">
      <c r="A28" s="19" t="s">
        <v>91</v>
      </c>
      <c r="B28" s="19" t="s">
        <v>92</v>
      </c>
      <c r="C28" s="28" t="n">
        <v>1</v>
      </c>
      <c r="D28" s="28" t="n">
        <v>0</v>
      </c>
      <c r="E28" s="28" t="n">
        <v>4</v>
      </c>
      <c r="F28" s="21" t="n">
        <v>0</v>
      </c>
      <c r="G28" s="37" t="s">
        <v>88</v>
      </c>
    </row>
    <row r="31" customFormat="false" ht="15" hidden="false" customHeight="true" outlineLevel="0" collapsed="false">
      <c r="A31" s="3" t="s">
        <v>93</v>
      </c>
      <c r="B31" s="3"/>
      <c r="C31" s="3"/>
      <c r="D31" s="3"/>
      <c r="E31" s="3"/>
      <c r="F31" s="3"/>
      <c r="G31" s="3"/>
    </row>
    <row r="32" customFormat="false" ht="15" hidden="false" customHeight="true" outlineLevel="0" collapsed="false">
      <c r="A32" s="23" t="s">
        <v>94</v>
      </c>
      <c r="B32" s="23" t="s">
        <v>44</v>
      </c>
      <c r="C32" s="23" t="s">
        <v>95</v>
      </c>
      <c r="D32" s="23" t="s">
        <v>96</v>
      </c>
    </row>
    <row r="33" customFormat="false" ht="15" hidden="false" customHeight="true" outlineLevel="0" collapsed="false">
      <c r="A33" s="16" t="s">
        <v>97</v>
      </c>
      <c r="B33" s="26" t="n">
        <v>760</v>
      </c>
      <c r="C33" s="18" t="n">
        <f aca="false">B33/SUM(B33:B36)</f>
        <v>0.526315789473684</v>
      </c>
      <c r="D33" s="16" t="s">
        <v>98</v>
      </c>
    </row>
    <row r="34" customFormat="false" ht="15" hidden="false" customHeight="true" outlineLevel="0" collapsed="false">
      <c r="A34" s="19" t="s">
        <v>99</v>
      </c>
      <c r="B34" s="28" t="n">
        <v>530</v>
      </c>
      <c r="C34" s="21" t="n">
        <f aca="false">B34/SUM(B33:B36)</f>
        <v>0.367036011080332</v>
      </c>
      <c r="D34" s="19" t="s">
        <v>100</v>
      </c>
    </row>
    <row r="35" customFormat="false" ht="15" hidden="false" customHeight="true" outlineLevel="0" collapsed="false">
      <c r="A35" s="16" t="s">
        <v>101</v>
      </c>
      <c r="B35" s="26" t="n">
        <v>102</v>
      </c>
      <c r="C35" s="18" t="n">
        <f aca="false">B35/SUM(B33:B36)</f>
        <v>0.0706371191135734</v>
      </c>
      <c r="D35" s="16" t="s">
        <v>102</v>
      </c>
    </row>
    <row r="36" customFormat="false" ht="15" hidden="false" customHeight="true" outlineLevel="0" collapsed="false">
      <c r="A36" s="19" t="s">
        <v>103</v>
      </c>
      <c r="B36" s="28" t="n">
        <v>52</v>
      </c>
      <c r="C36" s="21" t="n">
        <f aca="false">B36/SUM(B33:B36)</f>
        <v>0.03601108033241</v>
      </c>
      <c r="D36" s="37" t="s">
        <v>104</v>
      </c>
    </row>
  </sheetData>
  <mergeCells count="4">
    <mergeCell ref="A1:G1"/>
    <mergeCell ref="A3:G3"/>
    <mergeCell ref="A17:G17"/>
    <mergeCell ref="A31:G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4" min="3" style="1" width="14"/>
    <col collapsed="false" customWidth="true" hidden="false" outlineLevel="0" max="5" min="5" style="1" width="12"/>
    <col collapsed="false" customWidth="true" hidden="false" outlineLevel="0" max="6" min="6" style="1" width="18"/>
  </cols>
  <sheetData>
    <row r="1" customFormat="false" ht="34.5" hidden="false" customHeight="true" outlineLevel="0" collapsed="false">
      <c r="A1" s="14" t="s">
        <v>105</v>
      </c>
      <c r="B1" s="14"/>
      <c r="C1" s="14"/>
      <c r="D1" s="14"/>
      <c r="E1" s="14"/>
      <c r="F1" s="14"/>
    </row>
    <row r="3" customFormat="false" ht="15" hidden="false" customHeight="true" outlineLevel="0" collapsed="false">
      <c r="A3" s="23" t="s">
        <v>106</v>
      </c>
      <c r="B3" s="23" t="s">
        <v>2</v>
      </c>
      <c r="C3" s="23" t="s">
        <v>3</v>
      </c>
      <c r="D3" s="23" t="s">
        <v>4</v>
      </c>
      <c r="E3" s="23" t="s">
        <v>5</v>
      </c>
      <c r="F3" s="23" t="s">
        <v>7</v>
      </c>
    </row>
    <row r="4" customFormat="false" ht="15" hidden="false" customHeight="true" outlineLevel="0" collapsed="false">
      <c r="A4" s="16" t="s">
        <v>107</v>
      </c>
      <c r="B4" s="17" t="n">
        <v>2803</v>
      </c>
      <c r="C4" s="17" t="n">
        <v>2212</v>
      </c>
      <c r="D4" s="17" t="n">
        <v>449</v>
      </c>
      <c r="E4" s="17" t="n">
        <v>101</v>
      </c>
      <c r="F4" s="18" t="n">
        <f aca="false">D4/B4</f>
        <v>0.160185515519087</v>
      </c>
    </row>
    <row r="5" customFormat="false" ht="15" hidden="false" customHeight="true" outlineLevel="0" collapsed="false">
      <c r="A5" s="19" t="s">
        <v>108</v>
      </c>
      <c r="B5" s="20" t="n">
        <v>2594</v>
      </c>
      <c r="C5" s="20" t="n">
        <v>2031</v>
      </c>
      <c r="D5" s="20" t="n">
        <v>439</v>
      </c>
      <c r="E5" s="20" t="n">
        <v>90</v>
      </c>
      <c r="F5" s="21" t="n">
        <f aca="false">D5/B5</f>
        <v>0.169236700077101</v>
      </c>
    </row>
    <row r="6" customFormat="false" ht="15" hidden="false" customHeight="true" outlineLevel="0" collapsed="false">
      <c r="A6" s="16" t="s">
        <v>109</v>
      </c>
      <c r="B6" s="17" t="n">
        <v>2925</v>
      </c>
      <c r="C6" s="17" t="n">
        <v>2325</v>
      </c>
      <c r="D6" s="17" t="n">
        <v>443</v>
      </c>
      <c r="E6" s="17" t="n">
        <v>119</v>
      </c>
      <c r="F6" s="18" t="n">
        <f aca="false">D6/B6</f>
        <v>0.151452991452991</v>
      </c>
    </row>
    <row r="7" customFormat="false" ht="15" hidden="false" customHeight="true" outlineLevel="0" collapsed="false">
      <c r="A7" s="19" t="s">
        <v>110</v>
      </c>
      <c r="B7" s="20" t="n">
        <v>2407</v>
      </c>
      <c r="C7" s="20" t="n">
        <v>1961</v>
      </c>
      <c r="D7" s="20" t="n">
        <v>340</v>
      </c>
      <c r="E7" s="20" t="n">
        <v>83</v>
      </c>
      <c r="F7" s="21" t="n">
        <f aca="false">D7/B7</f>
        <v>0.141254673867885</v>
      </c>
    </row>
    <row r="8" customFormat="false" ht="15" hidden="false" customHeight="true" outlineLevel="0" collapsed="false">
      <c r="A8" s="39" t="s">
        <v>111</v>
      </c>
      <c r="B8" s="40" t="n">
        <v>3427</v>
      </c>
      <c r="C8" s="40" t="n">
        <v>2833</v>
      </c>
      <c r="D8" s="40" t="n">
        <v>445</v>
      </c>
      <c r="E8" s="40" t="n">
        <v>111</v>
      </c>
      <c r="F8" s="41" t="n">
        <f aca="false">D8/B8</f>
        <v>0.129851181791655</v>
      </c>
    </row>
    <row r="9" customFormat="false" ht="15" hidden="false" customHeight="true" outlineLevel="0" collapsed="false">
      <c r="A9" s="19" t="s">
        <v>112</v>
      </c>
      <c r="B9" s="20" t="n">
        <v>2230</v>
      </c>
      <c r="C9" s="20" t="n">
        <v>1725</v>
      </c>
      <c r="D9" s="20" t="n">
        <v>392</v>
      </c>
      <c r="E9" s="20" t="n">
        <v>81</v>
      </c>
      <c r="F9" s="21" t="n">
        <f aca="false">D9/B9</f>
        <v>0.175784753363229</v>
      </c>
    </row>
    <row r="10" customFormat="false" ht="15" hidden="false" customHeight="true" outlineLevel="0" collapsed="false">
      <c r="A10" s="16" t="s">
        <v>113</v>
      </c>
      <c r="B10" s="17" t="n">
        <v>1991</v>
      </c>
      <c r="C10" s="17" t="n">
        <v>1676</v>
      </c>
      <c r="D10" s="17" t="n">
        <v>253</v>
      </c>
      <c r="E10" s="17" t="n">
        <v>42</v>
      </c>
      <c r="F10" s="18" t="n">
        <f aca="false">D10/B10</f>
        <v>0.12707182320442</v>
      </c>
    </row>
    <row r="11" customFormat="false" ht="15" hidden="false" customHeight="true" outlineLevel="0" collapsed="false">
      <c r="A11" s="19" t="s">
        <v>114</v>
      </c>
      <c r="B11" s="20" t="n">
        <v>2157</v>
      </c>
      <c r="C11" s="20" t="n">
        <v>1787</v>
      </c>
      <c r="D11" s="20" t="n">
        <v>321</v>
      </c>
      <c r="E11" s="20" t="n">
        <v>39</v>
      </c>
      <c r="F11" s="21" t="n">
        <f aca="false">D11/B11</f>
        <v>0.148817802503477</v>
      </c>
    </row>
    <row r="12" customFormat="false" ht="15" hidden="false" customHeight="true" outlineLevel="0" collapsed="false">
      <c r="A12" s="16" t="s">
        <v>115</v>
      </c>
      <c r="B12" s="17" t="n">
        <v>2123</v>
      </c>
      <c r="C12" s="17" t="n">
        <v>1713</v>
      </c>
      <c r="D12" s="17" t="n">
        <v>315</v>
      </c>
      <c r="E12" s="17" t="n">
        <v>77</v>
      </c>
      <c r="F12" s="18" t="n">
        <f aca="false">D12/B12</f>
        <v>0.148374941121055</v>
      </c>
    </row>
    <row r="13" customFormat="false" ht="15" hidden="false" customHeight="true" outlineLevel="0" collapsed="false">
      <c r="A13" s="19" t="s">
        <v>116</v>
      </c>
      <c r="B13" s="20" t="n">
        <v>2214</v>
      </c>
      <c r="C13" s="20" t="n">
        <v>1754</v>
      </c>
      <c r="D13" s="20" t="n">
        <v>299</v>
      </c>
      <c r="E13" s="20" t="n">
        <v>128</v>
      </c>
      <c r="F13" s="21" t="n">
        <f aca="false">D13/B13</f>
        <v>0.135049683830172</v>
      </c>
    </row>
    <row r="14" customFormat="false" ht="15" hidden="false" customHeight="true" outlineLevel="0" collapsed="false">
      <c r="A14" s="16" t="s">
        <v>117</v>
      </c>
      <c r="B14" s="17" t="n">
        <v>2005</v>
      </c>
      <c r="C14" s="17" t="n">
        <v>1657</v>
      </c>
      <c r="D14" s="17" t="n">
        <v>267</v>
      </c>
      <c r="E14" s="17" t="n">
        <v>61</v>
      </c>
      <c r="F14" s="18" t="n">
        <f aca="false">D14/B14</f>
        <v>0.133167082294264</v>
      </c>
    </row>
    <row r="15" customFormat="false" ht="15" hidden="false" customHeight="true" outlineLevel="0" collapsed="false">
      <c r="A15" s="19" t="s">
        <v>118</v>
      </c>
      <c r="B15" s="20" t="n">
        <v>2188</v>
      </c>
      <c r="C15" s="20" t="n">
        <v>1769</v>
      </c>
      <c r="D15" s="20" t="n">
        <v>333</v>
      </c>
      <c r="E15" s="20" t="n">
        <v>66</v>
      </c>
      <c r="F15" s="21" t="n">
        <f aca="false">D15/B15</f>
        <v>0.152193784277879</v>
      </c>
    </row>
    <row r="16" customFormat="false" ht="15" hidden="false" customHeight="true" outlineLevel="0" collapsed="false">
      <c r="A16" s="16" t="s">
        <v>119</v>
      </c>
      <c r="B16" s="17" t="n">
        <v>1932</v>
      </c>
      <c r="C16" s="17" t="n">
        <v>1498</v>
      </c>
      <c r="D16" s="17" t="n">
        <v>330</v>
      </c>
      <c r="E16" s="17" t="n">
        <v>80</v>
      </c>
      <c r="F16" s="18" t="n">
        <f aca="false">D16/B16</f>
        <v>0.170807453416149</v>
      </c>
    </row>
    <row r="17" customFormat="false" ht="15" hidden="false" customHeight="true" outlineLevel="0" collapsed="false">
      <c r="A17" s="23" t="s">
        <v>39</v>
      </c>
      <c r="B17" s="24" t="n">
        <f aca="false">SUM(B4:B16)</f>
        <v>30996</v>
      </c>
      <c r="C17" s="24" t="n">
        <f aca="false">SUM(C4:C16)</f>
        <v>24941</v>
      </c>
      <c r="D17" s="24" t="n">
        <f aca="false">SUM(D4:D16)</f>
        <v>4626</v>
      </c>
      <c r="E17" s="24" t="n">
        <f aca="false">SUM(E4:E16)</f>
        <v>1078</v>
      </c>
      <c r="F17" s="25" t="n">
        <f aca="false">D17/B17</f>
        <v>0.14924506387921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40"/>
    <col collapsed="false" customWidth="true" hidden="false" outlineLevel="0" max="3" min="3" style="1" width="16"/>
    <col collapsed="false" customWidth="true" hidden="false" outlineLevel="0" max="5" min="4" style="1" width="12"/>
    <col collapsed="false" customWidth="true" hidden="false" outlineLevel="0" max="6" min="6" style="1" width="18"/>
  </cols>
  <sheetData>
    <row r="1" customFormat="false" ht="34.5" hidden="false" customHeight="true" outlineLevel="0" collapsed="false">
      <c r="A1" s="14" t="s">
        <v>120</v>
      </c>
      <c r="B1" s="14"/>
      <c r="C1" s="14"/>
      <c r="D1" s="14"/>
      <c r="E1" s="14"/>
      <c r="F1" s="14"/>
    </row>
    <row r="3" customFormat="false" ht="15" hidden="false" customHeight="true" outlineLevel="0" collapsed="false">
      <c r="A3" s="3" t="s">
        <v>121</v>
      </c>
      <c r="B3" s="3"/>
      <c r="C3" s="3"/>
      <c r="D3" s="3"/>
      <c r="E3" s="3"/>
      <c r="F3" s="3"/>
    </row>
    <row r="4" customFormat="false" ht="15" hidden="false" customHeight="true" outlineLevel="0" collapsed="false">
      <c r="A4" s="23" t="s">
        <v>122</v>
      </c>
      <c r="B4" s="23" t="s">
        <v>123</v>
      </c>
      <c r="C4" s="23" t="s">
        <v>124</v>
      </c>
      <c r="D4" s="23" t="s">
        <v>46</v>
      </c>
    </row>
    <row r="5" customFormat="false" ht="15" hidden="false" customHeight="true" outlineLevel="0" collapsed="false">
      <c r="A5" s="16" t="s">
        <v>125</v>
      </c>
      <c r="B5" s="16" t="s">
        <v>126</v>
      </c>
      <c r="C5" s="16" t="s">
        <v>127</v>
      </c>
      <c r="D5" s="16" t="s">
        <v>128</v>
      </c>
    </row>
    <row r="6" customFormat="false" ht="15" hidden="false" customHeight="true" outlineLevel="0" collapsed="false">
      <c r="A6" s="19" t="s">
        <v>129</v>
      </c>
      <c r="B6" s="19" t="s">
        <v>130</v>
      </c>
      <c r="C6" s="19" t="s">
        <v>131</v>
      </c>
      <c r="D6" s="19" t="s">
        <v>132</v>
      </c>
    </row>
    <row r="7" customFormat="false" ht="15" hidden="false" customHeight="true" outlineLevel="0" collapsed="false">
      <c r="A7" s="16" t="s">
        <v>133</v>
      </c>
      <c r="B7" s="16" t="s">
        <v>134</v>
      </c>
      <c r="C7" s="16" t="s">
        <v>135</v>
      </c>
      <c r="D7" s="27" t="s">
        <v>136</v>
      </c>
    </row>
    <row r="8" customFormat="false" ht="15" hidden="false" customHeight="true" outlineLevel="0" collapsed="false">
      <c r="A8" s="19" t="s">
        <v>137</v>
      </c>
      <c r="B8" s="19" t="s">
        <v>138</v>
      </c>
      <c r="C8" s="19" t="s">
        <v>135</v>
      </c>
      <c r="D8" s="36" t="s">
        <v>139</v>
      </c>
    </row>
    <row r="9" customFormat="false" ht="15" hidden="false" customHeight="true" outlineLevel="0" collapsed="false">
      <c r="A9" s="16" t="s">
        <v>140</v>
      </c>
      <c r="B9" s="16" t="s">
        <v>141</v>
      </c>
      <c r="C9" s="16" t="s">
        <v>135</v>
      </c>
      <c r="D9" s="16" t="s">
        <v>142</v>
      </c>
    </row>
    <row r="12" customFormat="false" ht="15" hidden="false" customHeight="true" outlineLevel="0" collapsed="false">
      <c r="A12" s="31" t="s">
        <v>143</v>
      </c>
      <c r="B12" s="31"/>
      <c r="C12" s="31"/>
      <c r="D12" s="31"/>
      <c r="E12" s="31"/>
      <c r="F12" s="31"/>
    </row>
    <row r="13" customFormat="false" ht="15" hidden="false" customHeight="true" outlineLevel="0" collapsed="false">
      <c r="A13" s="15" t="s">
        <v>42</v>
      </c>
      <c r="B13" s="15" t="s">
        <v>43</v>
      </c>
      <c r="C13" s="15" t="s">
        <v>2</v>
      </c>
      <c r="D13" s="15" t="s">
        <v>4</v>
      </c>
      <c r="E13" s="15" t="s">
        <v>5</v>
      </c>
      <c r="F13" s="15" t="s">
        <v>7</v>
      </c>
    </row>
    <row r="14" customFormat="false" ht="15" hidden="false" customHeight="true" outlineLevel="0" collapsed="false">
      <c r="A14" s="32" t="s">
        <v>144</v>
      </c>
      <c r="B14" s="32" t="s">
        <v>145</v>
      </c>
      <c r="C14" s="33" t="n">
        <v>6</v>
      </c>
      <c r="D14" s="33" t="n">
        <v>3</v>
      </c>
      <c r="E14" s="33" t="n">
        <v>1</v>
      </c>
      <c r="F14" s="42" t="n">
        <v>0.5</v>
      </c>
    </row>
    <row r="15" customFormat="false" ht="15" hidden="false" customHeight="true" outlineLevel="0" collapsed="false">
      <c r="A15" s="19" t="s">
        <v>47</v>
      </c>
      <c r="B15" s="19" t="s">
        <v>48</v>
      </c>
      <c r="C15" s="28" t="n">
        <v>55</v>
      </c>
      <c r="D15" s="28" t="n">
        <v>23</v>
      </c>
      <c r="E15" s="28" t="n">
        <v>2</v>
      </c>
      <c r="F15" s="43" t="n">
        <v>0.418</v>
      </c>
    </row>
    <row r="16" customFormat="false" ht="15" hidden="false" customHeight="true" outlineLevel="0" collapsed="false">
      <c r="A16" s="32" t="s">
        <v>146</v>
      </c>
      <c r="B16" s="32" t="s">
        <v>147</v>
      </c>
      <c r="C16" s="33" t="n">
        <v>105</v>
      </c>
      <c r="D16" s="33" t="n">
        <v>42</v>
      </c>
      <c r="E16" s="33" t="n">
        <v>1</v>
      </c>
      <c r="F16" s="42" t="n">
        <v>0.4</v>
      </c>
    </row>
    <row r="17" customFormat="false" ht="15" hidden="false" customHeight="true" outlineLevel="0" collapsed="false">
      <c r="A17" s="19" t="s">
        <v>148</v>
      </c>
      <c r="B17" s="19" t="s">
        <v>149</v>
      </c>
      <c r="C17" s="28" t="n">
        <v>49</v>
      </c>
      <c r="D17" s="28" t="n">
        <v>19</v>
      </c>
      <c r="E17" s="28" t="n">
        <v>3</v>
      </c>
      <c r="F17" s="43" t="n">
        <v>0.388</v>
      </c>
    </row>
    <row r="18" customFormat="false" ht="15" hidden="false" customHeight="true" outlineLevel="0" collapsed="false">
      <c r="A18" s="32" t="s">
        <v>91</v>
      </c>
      <c r="B18" s="32" t="s">
        <v>92</v>
      </c>
      <c r="C18" s="33" t="n">
        <v>47</v>
      </c>
      <c r="D18" s="33" t="n">
        <v>18</v>
      </c>
      <c r="E18" s="33" t="n">
        <v>1</v>
      </c>
      <c r="F18" s="42" t="n">
        <v>0.383</v>
      </c>
    </row>
    <row r="19" customFormat="false" ht="15" hidden="false" customHeight="true" outlineLevel="0" collapsed="false">
      <c r="A19" s="19" t="s">
        <v>76</v>
      </c>
      <c r="B19" s="19" t="s">
        <v>77</v>
      </c>
      <c r="C19" s="28" t="n">
        <v>51</v>
      </c>
      <c r="D19" s="28" t="n">
        <v>17</v>
      </c>
      <c r="E19" s="28" t="n">
        <v>4</v>
      </c>
      <c r="F19" s="21" t="n">
        <v>0.333</v>
      </c>
    </row>
    <row r="20" customFormat="false" ht="15" hidden="false" customHeight="true" outlineLevel="0" collapsed="false">
      <c r="A20" s="32" t="s">
        <v>150</v>
      </c>
      <c r="B20" s="32" t="s">
        <v>151</v>
      </c>
      <c r="C20" s="33" t="n">
        <v>49</v>
      </c>
      <c r="D20" s="33" t="n">
        <v>16</v>
      </c>
      <c r="E20" s="33" t="n">
        <v>2</v>
      </c>
      <c r="F20" s="34" t="n">
        <v>0.327</v>
      </c>
    </row>
    <row r="21" customFormat="false" ht="15" hidden="false" customHeight="true" outlineLevel="0" collapsed="false">
      <c r="A21" s="19" t="s">
        <v>152</v>
      </c>
      <c r="B21" s="19" t="s">
        <v>153</v>
      </c>
      <c r="C21" s="28" t="n">
        <v>60</v>
      </c>
      <c r="D21" s="28" t="n">
        <v>19</v>
      </c>
      <c r="E21" s="28" t="n">
        <v>2</v>
      </c>
      <c r="F21" s="21" t="n">
        <v>0.317</v>
      </c>
    </row>
    <row r="22" customFormat="false" ht="15" hidden="false" customHeight="true" outlineLevel="0" collapsed="false">
      <c r="A22" s="32" t="s">
        <v>154</v>
      </c>
      <c r="B22" s="32" t="s">
        <v>155</v>
      </c>
      <c r="C22" s="33" t="n">
        <v>69</v>
      </c>
      <c r="D22" s="33" t="n">
        <v>21</v>
      </c>
      <c r="E22" s="33" t="n">
        <v>2</v>
      </c>
      <c r="F22" s="34" t="n">
        <v>0.304</v>
      </c>
    </row>
    <row r="23" customFormat="false" ht="15" hidden="false" customHeight="true" outlineLevel="0" collapsed="false">
      <c r="A23" s="19" t="s">
        <v>156</v>
      </c>
      <c r="B23" s="19" t="s">
        <v>157</v>
      </c>
      <c r="C23" s="28" t="n">
        <v>43</v>
      </c>
      <c r="D23" s="28" t="n">
        <v>13</v>
      </c>
      <c r="E23" s="28" t="n">
        <v>2</v>
      </c>
      <c r="F23" s="21" t="n">
        <v>0.302</v>
      </c>
    </row>
  </sheetData>
  <mergeCells count="3">
    <mergeCell ref="A1:F1"/>
    <mergeCell ref="A3:F3"/>
    <mergeCell ref="A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2026-03-29T00:37:33Z</dcterms:created>
  <dc:creator>openpyxl</dc:creator>
  <dc:description/>
  <dc:language>en-US</dc:language>
  <cp:lastModifiedBy/>
  <dcterms:modified xsi:type="dcterms:W3CDTF">2026-03-29T00:37:53Z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