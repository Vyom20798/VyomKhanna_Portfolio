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Q1 - Sector Turnover" sheetId="2" state="visible" r:id="rId4"/>
    <sheet name="Q2 - Incorporation Months" sheetId="3" state="visible" r:id="rId5"/>
    <sheet name="Q3 - Closed Companies" sheetId="4" state="visible" r:id="rId6"/>
    <sheet name="Q4 - Additional Insigh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<sst xmlns="http://schemas.openxmlformats.org/spreadsheetml/2006/main" count="123" uniqueCount="95">
  <si>
    <t xml:space="preserve">Company Registration Data — Executive Summary</t>
  </si>
  <si>
    <t xml:space="preserve">Total Companies</t>
  </si>
  <si>
    <t xml:space="preserve">Active</t>
  </si>
  <si>
    <t xml:space="preserve">In Liquidation</t>
  </si>
  <si>
    <t xml:space="preserve">Closed</t>
  </si>
  <si>
    <t xml:space="preserve">Most Common Month</t>
  </si>
  <si>
    <t xml:space="preserve">Peak Inc. Year</t>
  </si>
  <si>
    <t xml:space="preserve">Consistent Growth Sector</t>
  </si>
  <si>
    <t xml:space="preserve">Highest Turnover Sector</t>
  </si>
  <si>
    <t xml:space="preserve">March</t>
  </si>
  <si>
    <t xml:space="preserve">Construction</t>
  </si>
  <si>
    <t xml:space="preserve">Retail</t>
  </si>
  <si>
    <t xml:space="preserve">KEY FINDINGS</t>
  </si>
  <si>
    <t xml:space="preserve">Q1</t>
  </si>
  <si>
    <t xml:space="preserve">Construction is the most consistent sector with an average growth of 6.2% and lowest standard deviation of 5.8%. Retail shows strongest overall growth (+20.6% avg) but with higher volatility. Maintenance and Repair is the only sector in consistent decline.</t>
  </si>
  <si>
    <t xml:space="preserve">Q2</t>
  </si>
  <si>
    <t xml:space="preserve">March is the most common month for incorporations overall (4,743 companies). This is NOT universal: Education and Maintenance peak in October, Consultancy and Healthcare peak in September. December is the quietest month (3,274) — 26% below November.</t>
  </si>
  <si>
    <t xml:space="preserve">Q3</t>
  </si>
  <si>
    <t xml:space="preserve">Closed companies rose sharply from 59 in 2020 to a peak of 160 in 2022, then dropped to 135 in 2023 and 44 in 2024. The 2021-2022 spike likely reflects delayed post-COVID closures. 100 companies show a closed date of 1900 — a likely data quality issue.</t>
  </si>
  <si>
    <t xml:space="preserve">Q4</t>
  </si>
  <si>
    <t xml:space="preserve">London postcodes (W, N, EC, WC, E, SW) dominate company registrations. New incorporations have grown 674% since 2010 with a sharp acceleration from 2023 (6,275) to 2024 (6,653). Retail is the standout growth sector with 4 consecutive years of growth totalling 107% since 2021.</t>
  </si>
  <si>
    <t xml:space="preserve">Q1: Sector Turnover — Year-on-Year Growth Analysis</t>
  </si>
  <si>
    <t xml:space="preserve">Sector</t>
  </si>
  <si>
    <t xml:space="preserve">2021 Turnover</t>
  </si>
  <si>
    <t xml:space="preserve">2022 Turnover</t>
  </si>
  <si>
    <t xml:space="preserve">2023 Turnover</t>
  </si>
  <si>
    <t xml:space="preserve">2024 Turnover</t>
  </si>
  <si>
    <t xml:space="preserve">2025 Turnover</t>
  </si>
  <si>
    <t xml:space="preserve">Growth 22</t>
  </si>
  <si>
    <t xml:space="preserve">Growth 23</t>
  </si>
  <si>
    <t xml:space="preserve">Growth 24</t>
  </si>
  <si>
    <t xml:space="preserve">Growth 25</t>
  </si>
  <si>
    <t xml:space="preserve">Avg Growth %</t>
  </si>
  <si>
    <t xml:space="preserve">Std Dev (Consistency)</t>
  </si>
  <si>
    <t xml:space="preserve">Farming</t>
  </si>
  <si>
    <t xml:space="preserve">Education</t>
  </si>
  <si>
    <t xml:space="preserve">Transport and Logistics</t>
  </si>
  <si>
    <t xml:space="preserve">Maintenance and Repair</t>
  </si>
  <si>
    <t xml:space="preserve">Other</t>
  </si>
  <si>
    <t xml:space="preserve">Manufacturing</t>
  </si>
  <si>
    <t xml:space="preserve">Consultancy</t>
  </si>
  <si>
    <t xml:space="preserve">Healthcare</t>
  </si>
  <si>
    <t xml:space="preserve">Lower Std Dev = More Consistent Growth  |  Construction = Most Consistent (5.8)  |  Retail = Strongest Avg Growth (20.6%)  |  Maintenance &amp; Repair = Only Declining Sector</t>
  </si>
  <si>
    <t xml:space="preserve">Q2: Most Common Month to Incorporate a Business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</si>
  <si>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</si>
  <si>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</si>
  <si>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</si>
  <si>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</si>
  <si>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</si>
  <si>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</si>
  <si>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</si>
  <si>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</si>
  <si>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</si>
  <si>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</si>
  <si>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</si>
  <si>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</si>
  <si>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</si>
  <si>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All Companies</t>
  </si>
  <si>
    <t xml:space="preserve">Green = Peak month per sector  |  Overall peak: March (4,743)  |  Not universal: Education/Maintenance peak in Oct, Consultancy/Healthcare peak in Sep  |  December always quietest</t>
  </si>
  <si>
    <t xml:space="preserve">Q3: How Have Closed Companies Changed Over Time?</t>
  </si>
  <si>
    <t xml:space="preserve">Year</t>
  </si>
  <si>
    <t xml:space="preserve">Companies Closed</t>
  </si>
  <si>
    <t xml:space="preserve">YoY Change</t>
  </si>
  <si>
    <t xml:space="preserve">Note</t>
  </si>
  <si>
    <t xml:space="preserve">COVID-19 start</t>
  </si>
  <si>
    <t xml:space="preserve">Post-COVID wave begins</t>
  </si>
  <si>
    <t xml:space="preserve">PEAK — 160 closures</t>
  </si>
  <si>
    <t xml:space="preserve">Decline begins</t>
  </si>
  <si>
    <t xml:space="preserve">Sharp fall — partial year?</t>
  </si>
  <si>
    <t xml:space="preserve">KEY INSIGHT: Closures spiked 2020-2022 — likely delayed COVID impact. Peak in 2022 (160). 100 companies show closed date of 1900 — data quality issue flagged.</t>
  </si>
  <si>
    <t xml:space="preserve">Q4: Additional Insights — Trends and Geographic Analysis</t>
  </si>
  <si>
    <t xml:space="preserve">NEW COMPANY INCORPORATIONS BY YEAR (2010-2024)</t>
  </si>
  <si>
    <t xml:space="preserve">New Companies</t>
  </si>
  <si>
    <t xml:space="preserve">YoY Growth %</t>
  </si>
  <si>
    <t xml:space="preserve">Trend</t>
  </si>
  <si>
    <t xml:space="preserve">Early growth</t>
  </si>
  <si>
    <t xml:space="preserve">Steady growth</t>
  </si>
  <si>
    <t xml:space="preserve">Surge</t>
  </si>
  <si>
    <t xml:space="preserve">TOP 10 POSTCODE AREAS BY COMPANY COUNT</t>
  </si>
  <si>
    <t xml:space="preserve">Postcode Area</t>
  </si>
  <si>
    <t xml:space="preserve">Companies</t>
  </si>
  <si>
    <t xml:space="preserve">Active Rate %</t>
  </si>
  <si>
    <t xml:space="preserve">Liquidation Rate %</t>
  </si>
  <si>
    <t xml:space="preserve">2025 Turnover £</t>
  </si>
  <si>
    <t xml:space="preserve">W</t>
  </si>
  <si>
    <t xml:space="preserve">N</t>
  </si>
  <si>
    <t xml:space="preserve">EC</t>
  </si>
  <si>
    <t xml:space="preserve">B</t>
  </si>
  <si>
    <t xml:space="preserve">WC</t>
  </si>
  <si>
    <t xml:space="preserve">E</t>
  </si>
  <si>
    <t xml:space="preserve">SW</t>
  </si>
  <si>
    <t xml:space="preserve">M</t>
  </si>
  <si>
    <t xml:space="preserve">SE</t>
  </si>
  <si>
    <t xml:space="preserve">NW</t>
  </si>
  <si>
    <t xml:space="preserve">KEY: London postcodes (W, N, EC, WC, E, SW) dominate registrations | Incorporations surged 61% in 2023 | NW has highest liquidation rate (8.1%) | Retail turnover grew 107% 2021-2025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</si>
</sst>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\%"/>
    <numFmt numFmtId="167" formatCode="0.0"/>
    <numFmt numFmtId="168" formatCode="\+#,##0;\-#,##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375623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0"/>
      <color rgb="FF00539C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672A8"/>
      </patternFill>
    </fill>
    <fill>
      <patternFill patternType="solid">
        <fgColor rgb="FF375623"/>
        <bgColor rgb="FF333300"/>
      </patternFill>
    </fill>
    <fill>
      <patternFill patternType="solid">
        <fgColor rgb="FFFF8C00"/>
        <bgColor rgb="FFDC853E"/>
      </patternFill>
    </fill>
    <fill>
      <patternFill patternType="solid">
        <fgColor rgb="FFC00000"/>
        <bgColor rgb="FF800000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FFCCCC"/>
        <bgColor rgb="FFD9D9D9"/>
      </patternFill>
    </fill>
    <fill>
      <patternFill patternType="solid">
        <fgColor rgb="FFBDD7EE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672A8"/>
      <rgbColor rgb="FFCCCCCC"/>
      <rgbColor rgb="FF878787"/>
      <rgbColor rgb="FF93A9CE"/>
      <rgbColor rgb="FFAB4744"/>
      <rgbColor rgb="FFF9F9F9"/>
      <rgbColor rgb="FFDEEAF1"/>
      <rgbColor rgb="FF660066"/>
      <rgbColor rgb="FFDC853E"/>
      <rgbColor rgb="FF00539C"/>
      <rgbColor rgb="FFBDD7EE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D9D9D9"/>
      <rgbColor rgb="FFE2EFDA"/>
      <rgbColor rgb="FFFFFF99"/>
      <rgbColor rgb="FF92C3D5"/>
      <rgbColor rgb="FFF8B590"/>
      <rgbColor rgb="FFD09493"/>
      <rgbColor rgb="FFFFCCCC"/>
      <rgbColor rgb="FF2E75B6"/>
      <rgbColor rgb="FF4F81BD"/>
      <rgbColor rgb="FFB8CD97"/>
      <rgbColor rgb="FFFFCC00"/>
      <rgbColor rgb="FFFF8C00"/>
      <rgbColor rgb="FFFF6600"/>
      <rgbColor rgb="FF725990"/>
      <rgbColor rgb="FFA99BBD"/>
      <rgbColor rgb="FF1F3864"/>
      <rgbColor rgb="FF4299B0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YoY Growth %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'Q1 - Sector Turnover'!K3</c:f>
              <c:strCache>
                <c:ptCount val="1"/>
                <c:pt idx="0">
                  <c:v>Avg Growth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'Q1 - Sector Turnover'!$A$4:$A$13</c:f>
              <c:strCache>
                <c:ptCount val="10"/>
                <c:pt idx="0">
                  <c:v>Construction</c:v>
                </c:pt>
                <c:pt idx="1">
                  <c:v>Farming</c:v>
                </c:pt>
                <c:pt idx="2">
                  <c:v>Education</c:v>
                </c:pt>
                <c:pt idx="3">
                  <c:v>Transport and Logistics</c:v>
                </c:pt>
                <c:pt idx="4">
                  <c:v>Maintenance and Repair</c:v>
                </c:pt>
                <c:pt idx="5">
                  <c:v>Retail</c:v>
                </c:pt>
                <c:pt idx="6">
                  <c:v>Other</c:v>
                </c:pt>
                <c:pt idx="7">
                  <c:v>Manufacturing</c:v>
                </c:pt>
                <c:pt idx="8">
                  <c:v>Consultancy</c:v>
                </c:pt>
                <c:pt idx="9">
                  <c:v>Healthcare</c:v>
                </c:pt>
              </c:strCache>
            </c:strRef>
          </c:cat>
          <c:val>
            <c:numRef>
              <c:f>'Q1 - Sector Turnover'!$K$4:$K$13</c:f>
              <c:numCache>
                <c:formatCode>0.0\%</c:formatCode>
                <c:ptCount val="10"/>
                <c:pt idx="0">
                  <c:v>6.2</c:v>
                </c:pt>
                <c:pt idx="1">
                  <c:v>4.8</c:v>
                </c:pt>
                <c:pt idx="2">
                  <c:v>7</c:v>
                </c:pt>
                <c:pt idx="3">
                  <c:v>8.1</c:v>
                </c:pt>
                <c:pt idx="4">
                  <c:v>-8.9</c:v>
                </c:pt>
                <c:pt idx="5">
                  <c:v>20.6</c:v>
                </c:pt>
                <c:pt idx="6">
                  <c:v>7.4</c:v>
                </c:pt>
                <c:pt idx="7">
                  <c:v>10.1</c:v>
                </c:pt>
                <c:pt idx="8">
                  <c:v>10.2</c:v>
                </c:pt>
                <c:pt idx="9">
                  <c:v>10</c:v>
                </c:pt>
              </c:numCache>
            </c:numRef>
          </c:val>
        </c:ser>
        <c:gapWidth val="150"/>
        <c:overlap val="0"/>
        <c:axId val="39981238"/>
        <c:axId val="6676011"/>
      </c:barChart>
      <c:catAx>
        <c:axId val="399812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6011"/>
        <c:crosses val="autoZero"/>
        <c:auto val="1"/>
        <c:lblAlgn val="ctr"/>
        <c:lblOffset val="100"/>
        <c:noMultiLvlLbl val="0"/>
      </c:catAx>
      <c:valAx>
        <c:axId val="6676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81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Company Incorporations by Month (All Sectors)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'Q2 - Incorporation Months'!B3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Months'!$B$4</c:f>
              <c:numCache>
                <c:formatCode>#,##0</c:formatCode>
                <c:ptCount val="1"/>
                <c:pt idx="0">
                  <c:v>4034</c:v>
                </c:pt>
              </c:numCache>
            </c:numRef>
          </c:val>
        </c:ser>
        <c:ser>
          <c:idx val="1"/>
          <c:order val="1"/>
          <c:tx>
            <c:strRef>
              <c:f>'Q2 - Incorporation Months'!C3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Months'!$C$4</c:f>
              <c:numCache>
                <c:formatCode>#,##0</c:formatCode>
                <c:ptCount val="1"/>
                <c:pt idx="0">
                  <c:v>4231</c:v>
                </c:pt>
              </c:numCache>
            </c:numRef>
          </c:val>
        </c:ser>
        <c:ser>
          <c:idx val="2"/>
          <c:order val="2"/>
          <c:tx>
            <c:strRef>
              <c:f>'Q2 - Incorporation Months'!D3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Months'!$D$4</c:f>
              <c:numCache>
                <c:formatCode>#,##0</c:formatCode>
                <c:ptCount val="1"/>
                <c:pt idx="0">
                  <c:v>4743</c:v>
                </c:pt>
              </c:numCache>
            </c:numRef>
          </c:val>
        </c:ser>
        <c:ser>
          <c:idx val="3"/>
          <c:order val="3"/>
          <c:tx>
            <c:strRef>
              <c:f>'Q2 - Incorporation Months'!E3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Months'!$E$4</c:f>
              <c:numCache>
                <c:formatCode>#,##0</c:formatCode>
                <c:ptCount val="1"/>
                <c:pt idx="0">
                  <c:v>4211</c:v>
                </c:pt>
              </c:numCache>
            </c:numRef>
          </c:val>
        </c:ser>
        <c:ser>
          <c:idx val="4"/>
          <c:order val="4"/>
          <c:tx>
            <c:strRef>
              <c:f>'Q2 - Incorporation Months'!F3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Months'!$F$4</c:f>
              <c:numCache>
                <c:formatCode>#,##0</c:formatCode>
                <c:ptCount val="1"/>
                <c:pt idx="0">
                  <c:v>4041</c:v>
                </c:pt>
              </c:numCache>
            </c:numRef>
          </c:val>
        </c:ser>
        <c:ser>
          <c:idx val="5"/>
          <c:order val="5"/>
          <c:tx>
            <c:strRef>
              <c:f>'Q2 - Incorporation Months'!G3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Months'!$G$4</c:f>
              <c:numCache>
                <c:formatCode>#,##0</c:formatCode>
                <c:ptCount val="1"/>
                <c:pt idx="0">
                  <c:v>3942</c:v>
                </c:pt>
              </c:numCache>
            </c:numRef>
          </c:val>
        </c:ser>
        <c:ser>
          <c:idx val="6"/>
          <c:order val="6"/>
          <c:tx>
            <c:strRef>
              <c:f>'Q2 - Incorporation Months'!H3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Months'!$H$4</c:f>
              <c:numCache>
                <c:formatCode>#,##0</c:formatCode>
                <c:ptCount val="1"/>
                <c:pt idx="0">
                  <c:v>4209</c:v>
                </c:pt>
              </c:numCache>
            </c:numRef>
          </c:val>
        </c:ser>
        <c:ser>
          <c:idx val="7"/>
          <c:order val="7"/>
          <c:tx>
            <c:strRef>
              <c:f>'Q2 - Incorporation Months'!I3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Months'!$I$4</c:f>
              <c:numCache>
                <c:formatCode>#,##0</c:formatCode>
                <c:ptCount val="1"/>
                <c:pt idx="0">
                  <c:v>4006</c:v>
                </c:pt>
              </c:numCache>
            </c:numRef>
          </c:val>
        </c:ser>
        <c:ser>
          <c:idx val="8"/>
          <c:order val="8"/>
          <c:tx>
            <c:strRef>
              <c:f>'Q2 - Incorporation Months'!J3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rgbClr val="b8cd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Months'!$J$4</c:f>
              <c:numCache>
                <c:formatCode>#,##0</c:formatCode>
                <c:ptCount val="1"/>
                <c:pt idx="0">
                  <c:v>4333</c:v>
                </c:pt>
              </c:numCache>
            </c:numRef>
          </c:val>
        </c:ser>
        <c:ser>
          <c:idx val="9"/>
          <c:order val="9"/>
          <c:tx>
            <c:strRef>
              <c:f>'Q2 - Incorporation Months'!K3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rgbClr val="a99b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Months'!$K$4</c:f>
              <c:numCache>
                <c:formatCode>#,##0</c:formatCode>
                <c:ptCount val="1"/>
                <c:pt idx="0">
                  <c:v>4580</c:v>
                </c:pt>
              </c:numCache>
            </c:numRef>
          </c:val>
        </c:ser>
        <c:ser>
          <c:idx val="10"/>
          <c:order val="10"/>
          <c:tx>
            <c:strRef>
              <c:f>'Q2 - Incorporation Months'!L3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92c3d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Months'!$L$4</c:f>
              <c:numCache>
                <c:formatCode>#,##0</c:formatCode>
                <c:ptCount val="1"/>
                <c:pt idx="0">
                  <c:v>4425</c:v>
                </c:pt>
              </c:numCache>
            </c:numRef>
          </c:val>
        </c:ser>
        <c:ser>
          <c:idx val="11"/>
          <c:order val="11"/>
          <c:tx>
            <c:strRef>
              <c:f>'Q2 - Incorporation Months'!M3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f8b5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'Q2 - Incorporation Months'!$B$3:$M$3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'Q2 - Incorporation Months'!$M$4</c:f>
              <c:numCache>
                <c:formatCode>#,##0</c:formatCode>
                <c:ptCount val="1"/>
                <c:pt idx="0">
                  <c:v>3274</c:v>
                </c:pt>
              </c:numCache>
            </c:numRef>
          </c:val>
        </c:ser>
        <c:gapWidth val="150"/>
        <c:overlap val="0"/>
        <c:axId val="39784168"/>
        <c:axId val="45159046"/>
      </c:barChart>
      <c:catAx>
        <c:axId val="397841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59046"/>
        <c:crosses val="autoZero"/>
        <c:auto val="1"/>
        <c:lblAlgn val="ctr"/>
        <c:lblOffset val="100"/>
        <c:noMultiLvlLbl val="0"/>
      </c:catAx>
      <c:valAx>
        <c:axId val="45159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Companies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84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Companies Closed Per Year (2010-2024)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'Q3 - Closed Companies'!B3</c:f>
              <c:strCache>
                <c:ptCount val="1"/>
                <c:pt idx="0">
                  <c:v>Companies Closed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'Q3 - Closed Companies'!$A$4:$A$18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'Q3 - Closed Companies'!$B$4:$B$18</c:f>
              <c:numCache>
                <c:formatCode>#,##0</c:formatCode>
                <c:ptCount val="15"/>
                <c:pt idx="0">
                  <c:v>16</c:v>
                </c:pt>
                <c:pt idx="1">
                  <c:v>10</c:v>
                </c:pt>
                <c:pt idx="2">
                  <c:v>10</c:v>
                </c:pt>
                <c:pt idx="3">
                  <c:v>2</c:v>
                </c:pt>
                <c:pt idx="4">
                  <c:v>7</c:v>
                </c:pt>
                <c:pt idx="5">
                  <c:v>10</c:v>
                </c:pt>
                <c:pt idx="6">
                  <c:v>14</c:v>
                </c:pt>
                <c:pt idx="7">
                  <c:v>22</c:v>
                </c:pt>
                <c:pt idx="8">
                  <c:v>24</c:v>
                </c:pt>
                <c:pt idx="9">
                  <c:v>31</c:v>
                </c:pt>
                <c:pt idx="10">
                  <c:v>59</c:v>
                </c:pt>
                <c:pt idx="11">
                  <c:v>118</c:v>
                </c:pt>
                <c:pt idx="12">
                  <c:v>160</c:v>
                </c:pt>
                <c:pt idx="13">
                  <c:v>135</c:v>
                </c:pt>
                <c:pt idx="14">
                  <c:v>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730349"/>
        <c:axId val="71616231"/>
      </c:lineChart>
      <c:catAx>
        <c:axId val="557303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16231"/>
        <c:crosses val="autoZero"/>
        <c:auto val="1"/>
        <c:lblAlgn val="ctr"/>
        <c:lblOffset val="100"/>
        <c:noMultiLvlLbl val="0"/>
      </c:catAx>
      <c:valAx>
        <c:axId val="71616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Companies Closed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7303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New Company Incorporations by Year (2010-2024)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'Q4 - Additional Insights'!B4</c:f>
              <c:strCache>
                <c:ptCount val="1"/>
                <c:pt idx="0">
                  <c:v>New Companies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'Q4 - Additional Insights'!$A$5:$A$19</c:f>
              <c:strCach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strCache>
            </c:strRef>
          </c:cat>
          <c:val>
            <c:numRef>
              <c:f>'Q4 - Additional Insights'!$B$5:$B$19</c:f>
              <c:numCache>
                <c:formatCode>#,##0</c:formatCode>
                <c:ptCount val="15"/>
                <c:pt idx="0">
                  <c:v>861</c:v>
                </c:pt>
                <c:pt idx="1">
                  <c:v>986</c:v>
                </c:pt>
                <c:pt idx="2">
                  <c:v>1148</c:v>
                </c:pt>
                <c:pt idx="3">
                  <c:v>1322</c:v>
                </c:pt>
                <c:pt idx="4">
                  <c:v>1520</c:v>
                </c:pt>
                <c:pt idx="5">
                  <c:v>1756</c:v>
                </c:pt>
                <c:pt idx="6">
                  <c:v>1924</c:v>
                </c:pt>
                <c:pt idx="7">
                  <c:v>2143</c:v>
                </c:pt>
                <c:pt idx="8">
                  <c:v>2508</c:v>
                </c:pt>
                <c:pt idx="9">
                  <c:v>2989</c:v>
                </c:pt>
                <c:pt idx="10">
                  <c:v>3088</c:v>
                </c:pt>
                <c:pt idx="11">
                  <c:v>3435</c:v>
                </c:pt>
                <c:pt idx="12">
                  <c:v>3893</c:v>
                </c:pt>
                <c:pt idx="13">
                  <c:v>6275</c:v>
                </c:pt>
                <c:pt idx="14">
                  <c:v>6653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634188"/>
        <c:axId val="86812299"/>
      </c:lineChart>
      <c:catAx>
        <c:axId val="396341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12299"/>
        <c:crosses val="autoZero"/>
        <c:auto val="1"/>
        <c:lblAlgn val="ctr"/>
        <c:lblOffset val="100"/>
        <c:noMultiLvlLbl val="0"/>
      </c:catAx>
      <c:valAx>
        <c:axId val="86812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New Companies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34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0</xdr:rowOff>
    </xdr:from>
    <xdr:to>
      <xdr:col>22</xdr:col>
      <xdr:colOff>255960</xdr:colOff>
      <xdr:row>19</xdr:row>
      <xdr:rowOff>84600</xdr:rowOff>
    </xdr:to>
    <xdr:graphicFrame>
      <xdr:nvGraphicFramePr>
        <xdr:cNvPr id="0" name="Chart 1"/>
        <xdr:cNvGraphicFramePr/>
      </xdr:nvGraphicFramePr>
      <xdr:xfrm>
        <a:off x="13228200" y="5904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8</xdr:col>
      <xdr:colOff>120960</xdr:colOff>
      <xdr:row>37</xdr:row>
      <xdr:rowOff>170640</xdr:rowOff>
    </xdr:to>
    <xdr:graphicFrame>
      <xdr:nvGraphicFramePr>
        <xdr:cNvPr id="1" name="Chart 1"/>
        <xdr:cNvGraphicFramePr/>
      </xdr:nvGraphicFramePr>
      <xdr:xfrm>
        <a:off x="0" y="402912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14</xdr:col>
      <xdr:colOff>255960</xdr:colOff>
      <xdr:row>20</xdr:row>
      <xdr:rowOff>8640</xdr:rowOff>
    </xdr:to>
    <xdr:graphicFrame>
      <xdr:nvGraphicFramePr>
        <xdr:cNvPr id="2" name="Chart 1"/>
        <xdr:cNvGraphicFramePr/>
      </xdr:nvGraphicFramePr>
      <xdr:xfrm>
        <a:off x="5827320" y="5904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19</xdr:col>
      <xdr:colOff>364680</xdr:colOff>
      <xdr:row>20</xdr:row>
      <xdr:rowOff>170640</xdr:rowOff>
    </xdr:to>
    <xdr:graphicFrame>
      <xdr:nvGraphicFramePr>
        <xdr:cNvPr id="3" name="Chart 1"/>
        <xdr:cNvGraphicFramePr/>
      </xdr:nvGraphicFramePr>
      <xdr:xfrm>
        <a:off x="8646840" y="5904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8" min="4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9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30" hidden="false" customHeight="true" outlineLevel="0" collapsed="false">
      <c r="A4" s="3" t="n">
        <v>50029</v>
      </c>
      <c r="B4" s="4" t="n">
        <v>45729</v>
      </c>
      <c r="C4" s="5" t="n">
        <v>3393</v>
      </c>
      <c r="D4" s="6" t="n">
        <v>907</v>
      </c>
      <c r="E4" s="7" t="s">
        <v>9</v>
      </c>
      <c r="F4" s="7" t="n">
        <v>2024</v>
      </c>
      <c r="G4" s="8" t="s">
        <v>10</v>
      </c>
      <c r="H4" s="8" t="s">
        <v>11</v>
      </c>
    </row>
    <row r="6" customFormat="false" ht="19.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</row>
    <row r="7" customFormat="false" ht="39.75" hidden="false" customHeight="true" outlineLevel="0" collapsed="false">
      <c r="A7" s="10" t="s">
        <v>13</v>
      </c>
      <c r="B7" s="11" t="s">
        <v>14</v>
      </c>
      <c r="C7" s="11"/>
      <c r="D7" s="11"/>
      <c r="E7" s="11"/>
      <c r="F7" s="11"/>
      <c r="G7" s="11"/>
      <c r="H7" s="11"/>
    </row>
    <row r="8" customFormat="false" ht="39.75" hidden="false" customHeight="true" outlineLevel="0" collapsed="false">
      <c r="A8" s="10" t="s">
        <v>15</v>
      </c>
      <c r="B8" s="12" t="s">
        <v>16</v>
      </c>
      <c r="C8" s="12"/>
      <c r="D8" s="12"/>
      <c r="E8" s="12"/>
      <c r="F8" s="12"/>
      <c r="G8" s="12"/>
      <c r="H8" s="12"/>
    </row>
    <row r="9" customFormat="false" ht="39.75" hidden="false" customHeight="true" outlineLevel="0" collapsed="false">
      <c r="A9" s="10" t="s">
        <v>17</v>
      </c>
      <c r="B9" s="11" t="s">
        <v>18</v>
      </c>
      <c r="C9" s="11"/>
      <c r="D9" s="11"/>
      <c r="E9" s="11"/>
      <c r="F9" s="11"/>
      <c r="G9" s="11"/>
      <c r="H9" s="11"/>
    </row>
    <row r="10" customFormat="false" ht="39.75" hidden="false" customHeight="true" outlineLevel="0" collapsed="false">
      <c r="A10" s="10" t="s">
        <v>19</v>
      </c>
      <c r="B10" s="12" t="s">
        <v>20</v>
      </c>
      <c r="C10" s="12"/>
      <c r="D10" s="12"/>
      <c r="E10" s="12"/>
      <c r="F10" s="12"/>
      <c r="G10" s="12"/>
      <c r="H10" s="12"/>
    </row>
  </sheetData>
  <mergeCells count="6">
    <mergeCell ref="A1:H1"/>
    <mergeCell ref="A6:H6"/>
    <mergeCell ref="B7:H7"/>
    <mergeCell ref="B8:H8"/>
    <mergeCell ref="B9:H9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  <col collapsed="false" customWidth="true" hidden="false" outlineLevel="0" max="10" min="7" style="0" width="11"/>
    <col collapsed="false" customWidth="true" hidden="false" outlineLevel="0" max="11" min="11" style="0" width="13"/>
    <col collapsed="false" customWidth="true" hidden="false" outlineLevel="0" max="12" min="12" style="0" width="20"/>
  </cols>
  <sheetData>
    <row r="1" customFormat="false" ht="31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27.75" hidden="false" customHeight="true" outlineLevel="0" collapsed="false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29</v>
      </c>
      <c r="I3" s="13" t="s">
        <v>30</v>
      </c>
      <c r="J3" s="13" t="s">
        <v>31</v>
      </c>
      <c r="K3" s="13" t="s">
        <v>32</v>
      </c>
      <c r="L3" s="13" t="s">
        <v>33</v>
      </c>
    </row>
    <row r="4" customFormat="false" ht="15" hidden="false" customHeight="false" outlineLevel="0" collapsed="false">
      <c r="A4" s="14" t="s">
        <v>10</v>
      </c>
      <c r="B4" s="15" t="n">
        <v>3760266476</v>
      </c>
      <c r="C4" s="15" t="n">
        <v>4177156228</v>
      </c>
      <c r="D4" s="15" t="n">
        <v>4623585227</v>
      </c>
      <c r="E4" s="15" t="n">
        <v>4805015723</v>
      </c>
      <c r="F4" s="15" t="n">
        <v>4758252444</v>
      </c>
      <c r="G4" s="16" t="n">
        <v>11.1</v>
      </c>
      <c r="H4" s="16" t="n">
        <v>10.7</v>
      </c>
      <c r="I4" s="16" t="n">
        <v>3.9</v>
      </c>
      <c r="J4" s="17" t="n">
        <v>-1</v>
      </c>
      <c r="K4" s="18" t="n">
        <v>6.2</v>
      </c>
      <c r="L4" s="19" t="n">
        <v>5.8</v>
      </c>
    </row>
    <row r="5" customFormat="false" ht="15" hidden="false" customHeight="false" outlineLevel="0" collapsed="false">
      <c r="A5" s="20" t="s">
        <v>34</v>
      </c>
      <c r="B5" s="21" t="n">
        <v>29604078</v>
      </c>
      <c r="C5" s="21" t="n">
        <v>33157567</v>
      </c>
      <c r="D5" s="21" t="n">
        <v>35379679</v>
      </c>
      <c r="E5" s="21" t="n">
        <v>36384587</v>
      </c>
      <c r="F5" s="21" t="n">
        <v>35638093</v>
      </c>
      <c r="G5" s="16" t="n">
        <v>12</v>
      </c>
      <c r="H5" s="16" t="n">
        <v>6.7</v>
      </c>
      <c r="I5" s="22" t="n">
        <v>2.8</v>
      </c>
      <c r="J5" s="17" t="n">
        <v>-2.1</v>
      </c>
      <c r="K5" s="23" t="n">
        <v>4.8</v>
      </c>
      <c r="L5" s="24" t="n">
        <v>6</v>
      </c>
    </row>
    <row r="6" customFormat="false" ht="15" hidden="false" customHeight="false" outlineLevel="0" collapsed="false">
      <c r="A6" s="25" t="s">
        <v>35</v>
      </c>
      <c r="B6" s="26" t="n">
        <v>210570121</v>
      </c>
      <c r="C6" s="26" t="n">
        <v>233753019</v>
      </c>
      <c r="D6" s="26" t="n">
        <v>265437955</v>
      </c>
      <c r="E6" s="26" t="n">
        <v>273107338</v>
      </c>
      <c r="F6" s="26" t="n">
        <v>274104132</v>
      </c>
      <c r="G6" s="16" t="n">
        <v>11</v>
      </c>
      <c r="H6" s="16" t="n">
        <v>13.6</v>
      </c>
      <c r="I6" s="27" t="n">
        <v>2.9</v>
      </c>
      <c r="J6" s="27" t="n">
        <v>0.4</v>
      </c>
      <c r="K6" s="28" t="n">
        <v>7</v>
      </c>
      <c r="L6" s="29" t="n">
        <v>6.3</v>
      </c>
    </row>
    <row r="7" customFormat="false" ht="15" hidden="false" customHeight="false" outlineLevel="0" collapsed="false">
      <c r="A7" s="20" t="s">
        <v>36</v>
      </c>
      <c r="B7" s="21" t="n">
        <v>680346680</v>
      </c>
      <c r="C7" s="21" t="n">
        <v>807390005</v>
      </c>
      <c r="D7" s="21" t="n">
        <v>886183655</v>
      </c>
      <c r="E7" s="21" t="n">
        <v>923084141</v>
      </c>
      <c r="F7" s="21" t="n">
        <v>920835264</v>
      </c>
      <c r="G7" s="16" t="n">
        <v>18.7</v>
      </c>
      <c r="H7" s="16" t="n">
        <v>9.8</v>
      </c>
      <c r="I7" s="22" t="n">
        <v>4.2</v>
      </c>
      <c r="J7" s="17" t="n">
        <v>-0.2</v>
      </c>
      <c r="K7" s="23" t="n">
        <v>8.1</v>
      </c>
      <c r="L7" s="24" t="n">
        <v>8.2</v>
      </c>
    </row>
    <row r="8" customFormat="false" ht="15" hidden="false" customHeight="false" outlineLevel="0" collapsed="false">
      <c r="A8" s="30" t="s">
        <v>37</v>
      </c>
      <c r="B8" s="31" t="n">
        <v>486004297</v>
      </c>
      <c r="C8" s="31" t="n">
        <v>431345805</v>
      </c>
      <c r="D8" s="31" t="n">
        <v>473213988</v>
      </c>
      <c r="E8" s="31" t="n">
        <v>391079943</v>
      </c>
      <c r="F8" s="31" t="n">
        <v>325306888</v>
      </c>
      <c r="G8" s="17" t="n">
        <v>-11.2</v>
      </c>
      <c r="H8" s="16" t="n">
        <v>9.7</v>
      </c>
      <c r="I8" s="17" t="n">
        <v>-17.4</v>
      </c>
      <c r="J8" s="17" t="n">
        <v>-16.8</v>
      </c>
      <c r="K8" s="32" t="n">
        <v>-8.9</v>
      </c>
      <c r="L8" s="33" t="n">
        <v>12.7</v>
      </c>
    </row>
    <row r="9" customFormat="false" ht="15" hidden="false" customHeight="false" outlineLevel="0" collapsed="false">
      <c r="A9" s="20" t="s">
        <v>11</v>
      </c>
      <c r="B9" s="21" t="n">
        <v>1216780870</v>
      </c>
      <c r="C9" s="21" t="n">
        <v>1732502610</v>
      </c>
      <c r="D9" s="21" t="n">
        <v>1911738176</v>
      </c>
      <c r="E9" s="21" t="n">
        <v>2250587918</v>
      </c>
      <c r="F9" s="21" t="n">
        <v>2522931930</v>
      </c>
      <c r="G9" s="16" t="n">
        <v>42.4</v>
      </c>
      <c r="H9" s="16" t="n">
        <v>10.3</v>
      </c>
      <c r="I9" s="16" t="n">
        <v>17.7</v>
      </c>
      <c r="J9" s="16" t="n">
        <v>12.1</v>
      </c>
      <c r="K9" s="23" t="n">
        <v>20.6</v>
      </c>
      <c r="L9" s="24" t="n">
        <v>14.9</v>
      </c>
    </row>
    <row r="10" customFormat="false" ht="15" hidden="false" customHeight="false" outlineLevel="0" collapsed="false">
      <c r="A10" s="25" t="s">
        <v>38</v>
      </c>
      <c r="B10" s="26" t="n">
        <v>9485498681</v>
      </c>
      <c r="C10" s="26" t="n">
        <v>6557536211</v>
      </c>
      <c r="D10" s="26" t="n">
        <v>7299067407</v>
      </c>
      <c r="E10" s="26" t="n">
        <v>9691035854</v>
      </c>
      <c r="F10" s="26" t="n">
        <v>11288616079</v>
      </c>
      <c r="G10" s="17" t="n">
        <v>-30.9</v>
      </c>
      <c r="H10" s="16" t="n">
        <v>11.3</v>
      </c>
      <c r="I10" s="16" t="n">
        <v>32.8</v>
      </c>
      <c r="J10" s="16" t="n">
        <v>16.5</v>
      </c>
      <c r="K10" s="28" t="n">
        <v>7.4</v>
      </c>
      <c r="L10" s="29" t="n">
        <v>27.1</v>
      </c>
    </row>
    <row r="11" customFormat="false" ht="15" hidden="false" customHeight="false" outlineLevel="0" collapsed="false">
      <c r="A11" s="20" t="s">
        <v>39</v>
      </c>
      <c r="B11" s="21" t="n">
        <v>1351898374</v>
      </c>
      <c r="C11" s="21" t="n">
        <v>1069002793</v>
      </c>
      <c r="D11" s="21" t="n">
        <v>1683114685</v>
      </c>
      <c r="E11" s="21" t="n">
        <v>1742567042</v>
      </c>
      <c r="F11" s="21" t="n">
        <v>1749781207</v>
      </c>
      <c r="G11" s="17" t="n">
        <v>-20.9</v>
      </c>
      <c r="H11" s="16" t="n">
        <v>57.4</v>
      </c>
      <c r="I11" s="22" t="n">
        <v>3.5</v>
      </c>
      <c r="J11" s="22" t="n">
        <v>0.4</v>
      </c>
      <c r="K11" s="23" t="n">
        <v>10.1</v>
      </c>
      <c r="L11" s="24" t="n">
        <v>33.3</v>
      </c>
    </row>
    <row r="12" customFormat="false" ht="15" hidden="false" customHeight="false" outlineLevel="0" collapsed="false">
      <c r="A12" s="25" t="s">
        <v>40</v>
      </c>
      <c r="B12" s="26" t="n">
        <v>4153868080</v>
      </c>
      <c r="C12" s="26" t="n">
        <v>3282689501</v>
      </c>
      <c r="D12" s="26" t="n">
        <v>5166657589</v>
      </c>
      <c r="E12" s="26" t="n">
        <v>5404322500</v>
      </c>
      <c r="F12" s="26" t="n">
        <v>5406970496</v>
      </c>
      <c r="G12" s="17" t="n">
        <v>-21</v>
      </c>
      <c r="H12" s="16" t="n">
        <v>57.4</v>
      </c>
      <c r="I12" s="27" t="n">
        <v>4.6</v>
      </c>
      <c r="J12" s="27" t="n">
        <v>0</v>
      </c>
      <c r="K12" s="28" t="n">
        <v>10.2</v>
      </c>
      <c r="L12" s="29" t="n">
        <v>33.4</v>
      </c>
    </row>
    <row r="13" customFormat="false" ht="15" hidden="false" customHeight="false" outlineLevel="0" collapsed="false">
      <c r="A13" s="20" t="s">
        <v>41</v>
      </c>
      <c r="B13" s="21" t="n">
        <v>708958838</v>
      </c>
      <c r="C13" s="21" t="n">
        <v>553272466</v>
      </c>
      <c r="D13" s="21" t="n">
        <v>878473256</v>
      </c>
      <c r="E13" s="21" t="n">
        <v>914467100</v>
      </c>
      <c r="F13" s="21" t="n">
        <v>907990019</v>
      </c>
      <c r="G13" s="17" t="n">
        <v>-22</v>
      </c>
      <c r="H13" s="16" t="n">
        <v>58.8</v>
      </c>
      <c r="I13" s="22" t="n">
        <v>4.1</v>
      </c>
      <c r="J13" s="17" t="n">
        <v>-0.7</v>
      </c>
      <c r="K13" s="23" t="n">
        <v>10</v>
      </c>
      <c r="L13" s="24" t="n">
        <v>34.4</v>
      </c>
    </row>
    <row r="15" customFormat="false" ht="24" hidden="false" customHeight="true" outlineLevel="0" collapsed="false">
      <c r="A15" s="34" t="s">
        <v>42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</sheetData>
  <mergeCells count="2">
    <mergeCell ref="A1:J1"/>
    <mergeCell ref="A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8"/>
  </cols>
  <sheetData>
    <row r="1" customFormat="false" ht="31.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1.75" hidden="false" customHeight="true" outlineLevel="0" collapsed="false">
      <c r="A3" s="35" t="s">
        <v>44</v>
      </c>
      <c r="B3" s="35" t="s">
        <v>45</v>
      </c>
      <c r="C3" s="35" t="s">
        <v>46</v>
      </c>
      <c r="D3" s="35" t="s">
        <v>47</v>
      </c>
      <c r="E3" s="35" t="s">
        <v>48</v>
      </c>
      <c r="F3" s="35" t="s">
        <v>49</v>
      </c>
      <c r="G3" s="35" t="s">
        <v>50</v>
      </c>
      <c r="H3" s="35" t="s">
        <v>51</v>
      </c>
      <c r="I3" s="35" t="s">
        <v>52</v>
      </c>
      <c r="J3" s="35" t="s">
        <v>53</v>
      </c>
      <c r="K3" s="35" t="s">
        <v>54</v>
      </c>
      <c r="L3" s="35" t="s">
        <v>55</v>
      </c>
      <c r="M3" s="35" t="s">
        <v>56</v>
      </c>
    </row>
    <row r="4" customFormat="false" ht="15" hidden="false" customHeight="false" outlineLevel="0" collapsed="false">
      <c r="A4" s="36" t="s">
        <v>57</v>
      </c>
      <c r="B4" s="37" t="n">
        <v>4034</v>
      </c>
      <c r="C4" s="21" t="n">
        <v>4231</v>
      </c>
      <c r="D4" s="38" t="n">
        <v>4743</v>
      </c>
      <c r="E4" s="21" t="n">
        <v>4211</v>
      </c>
      <c r="F4" s="37" t="n">
        <v>4041</v>
      </c>
      <c r="G4" s="21" t="n">
        <v>3942</v>
      </c>
      <c r="H4" s="37" t="n">
        <v>4209</v>
      </c>
      <c r="I4" s="21" t="n">
        <v>4006</v>
      </c>
      <c r="J4" s="37" t="n">
        <v>4333</v>
      </c>
      <c r="K4" s="21" t="n">
        <v>4580</v>
      </c>
      <c r="L4" s="37" t="n">
        <v>4425</v>
      </c>
      <c r="M4" s="31" t="n">
        <v>3274</v>
      </c>
    </row>
    <row r="5" customFormat="false" ht="15" hidden="false" customHeight="false" outlineLevel="0" collapsed="false">
      <c r="A5" s="25" t="s">
        <v>10</v>
      </c>
      <c r="B5" s="26" t="n">
        <v>158</v>
      </c>
      <c r="C5" s="26" t="n">
        <v>195</v>
      </c>
      <c r="D5" s="38" t="n">
        <v>202</v>
      </c>
      <c r="E5" s="26" t="n">
        <v>179</v>
      </c>
      <c r="F5" s="26" t="n">
        <v>160</v>
      </c>
      <c r="G5" s="26" t="n">
        <v>145</v>
      </c>
      <c r="H5" s="26" t="n">
        <v>175</v>
      </c>
      <c r="I5" s="26" t="n">
        <v>178</v>
      </c>
      <c r="J5" s="26" t="n">
        <v>164</v>
      </c>
      <c r="K5" s="26" t="n">
        <v>181</v>
      </c>
      <c r="L5" s="26" t="n">
        <v>190</v>
      </c>
      <c r="M5" s="26" t="n">
        <v>131</v>
      </c>
    </row>
    <row r="6" customFormat="false" ht="15" hidden="false" customHeight="false" outlineLevel="0" collapsed="false">
      <c r="A6" s="20" t="s">
        <v>40</v>
      </c>
      <c r="B6" s="21" t="n">
        <v>330</v>
      </c>
      <c r="C6" s="21" t="n">
        <v>325</v>
      </c>
      <c r="D6" s="21" t="n">
        <v>348</v>
      </c>
      <c r="E6" s="21" t="n">
        <v>344</v>
      </c>
      <c r="F6" s="21" t="n">
        <v>339</v>
      </c>
      <c r="G6" s="21" t="n">
        <v>311</v>
      </c>
      <c r="H6" s="21" t="n">
        <v>330</v>
      </c>
      <c r="I6" s="21" t="n">
        <v>328</v>
      </c>
      <c r="J6" s="38" t="n">
        <v>354</v>
      </c>
      <c r="K6" s="21" t="n">
        <v>344</v>
      </c>
      <c r="L6" s="21" t="n">
        <v>349</v>
      </c>
      <c r="M6" s="21" t="n">
        <v>231</v>
      </c>
    </row>
    <row r="7" customFormat="false" ht="15" hidden="false" customHeight="false" outlineLevel="0" collapsed="false">
      <c r="A7" s="25" t="s">
        <v>35</v>
      </c>
      <c r="B7" s="26" t="n">
        <v>78</v>
      </c>
      <c r="C7" s="26" t="n">
        <v>79</v>
      </c>
      <c r="D7" s="26" t="n">
        <v>65</v>
      </c>
      <c r="E7" s="26" t="n">
        <v>55</v>
      </c>
      <c r="F7" s="26" t="n">
        <v>57</v>
      </c>
      <c r="G7" s="26" t="n">
        <v>64</v>
      </c>
      <c r="H7" s="26" t="n">
        <v>66</v>
      </c>
      <c r="I7" s="26" t="n">
        <v>71</v>
      </c>
      <c r="J7" s="26" t="n">
        <v>68</v>
      </c>
      <c r="K7" s="38" t="n">
        <v>82</v>
      </c>
      <c r="L7" s="26" t="n">
        <v>69</v>
      </c>
      <c r="M7" s="26" t="n">
        <v>72</v>
      </c>
    </row>
    <row r="8" customFormat="false" ht="15" hidden="false" customHeight="false" outlineLevel="0" collapsed="false">
      <c r="A8" s="20" t="s">
        <v>34</v>
      </c>
      <c r="B8" s="21" t="n">
        <v>12</v>
      </c>
      <c r="C8" s="21" t="n">
        <v>16</v>
      </c>
      <c r="D8" s="21" t="n">
        <v>10</v>
      </c>
      <c r="E8" s="21" t="n">
        <v>12</v>
      </c>
      <c r="F8" s="21" t="n">
        <v>14</v>
      </c>
      <c r="G8" s="21" t="n">
        <v>11</v>
      </c>
      <c r="H8" s="21" t="n">
        <v>8</v>
      </c>
      <c r="I8" s="21" t="n">
        <v>9</v>
      </c>
      <c r="J8" s="38" t="n">
        <v>18</v>
      </c>
      <c r="K8" s="21" t="n">
        <v>10</v>
      </c>
      <c r="L8" s="21" t="n">
        <v>16</v>
      </c>
      <c r="M8" s="21" t="n">
        <v>4</v>
      </c>
    </row>
    <row r="9" customFormat="false" ht="15" hidden="false" customHeight="false" outlineLevel="0" collapsed="false">
      <c r="A9" s="25" t="s">
        <v>41</v>
      </c>
      <c r="B9" s="26" t="n">
        <v>86</v>
      </c>
      <c r="C9" s="26" t="n">
        <v>94</v>
      </c>
      <c r="D9" s="26" t="n">
        <v>105</v>
      </c>
      <c r="E9" s="26" t="n">
        <v>93</v>
      </c>
      <c r="F9" s="26" t="n">
        <v>90</v>
      </c>
      <c r="G9" s="26" t="n">
        <v>90</v>
      </c>
      <c r="H9" s="26" t="n">
        <v>76</v>
      </c>
      <c r="I9" s="26" t="n">
        <v>85</v>
      </c>
      <c r="J9" s="38" t="n">
        <v>116</v>
      </c>
      <c r="K9" s="26" t="n">
        <v>97</v>
      </c>
      <c r="L9" s="26" t="n">
        <v>104</v>
      </c>
      <c r="M9" s="26" t="n">
        <v>91</v>
      </c>
    </row>
    <row r="10" customFormat="false" ht="15" hidden="false" customHeight="false" outlineLevel="0" collapsed="false">
      <c r="A10" s="20" t="s">
        <v>37</v>
      </c>
      <c r="B10" s="21" t="n">
        <v>59</v>
      </c>
      <c r="C10" s="21" t="n">
        <v>80</v>
      </c>
      <c r="D10" s="21" t="n">
        <v>80</v>
      </c>
      <c r="E10" s="21" t="n">
        <v>63</v>
      </c>
      <c r="F10" s="21" t="n">
        <v>79</v>
      </c>
      <c r="G10" s="21" t="n">
        <v>56</v>
      </c>
      <c r="H10" s="21" t="n">
        <v>82</v>
      </c>
      <c r="I10" s="21" t="n">
        <v>69</v>
      </c>
      <c r="J10" s="21" t="n">
        <v>62</v>
      </c>
      <c r="K10" s="38" t="n">
        <v>84</v>
      </c>
      <c r="L10" s="21" t="n">
        <v>73</v>
      </c>
      <c r="M10" s="21" t="n">
        <v>59</v>
      </c>
    </row>
    <row r="11" customFormat="false" ht="15" hidden="false" customHeight="false" outlineLevel="0" collapsed="false">
      <c r="A11" s="25" t="s">
        <v>39</v>
      </c>
      <c r="B11" s="26" t="n">
        <v>165</v>
      </c>
      <c r="C11" s="26" t="n">
        <v>155</v>
      </c>
      <c r="D11" s="26" t="n">
        <v>200</v>
      </c>
      <c r="E11" s="38" t="n">
        <v>210</v>
      </c>
      <c r="F11" s="26" t="n">
        <v>180</v>
      </c>
      <c r="G11" s="26" t="n">
        <v>166</v>
      </c>
      <c r="H11" s="26" t="n">
        <v>154</v>
      </c>
      <c r="I11" s="26" t="n">
        <v>169</v>
      </c>
      <c r="J11" s="26" t="n">
        <v>190</v>
      </c>
      <c r="K11" s="26" t="n">
        <v>183</v>
      </c>
      <c r="L11" s="26" t="n">
        <v>185</v>
      </c>
      <c r="M11" s="26" t="n">
        <v>133</v>
      </c>
    </row>
    <row r="12" customFormat="false" ht="15" hidden="false" customHeight="false" outlineLevel="0" collapsed="false">
      <c r="A12" s="20" t="s">
        <v>38</v>
      </c>
      <c r="B12" s="21" t="n">
        <v>2677</v>
      </c>
      <c r="C12" s="21" t="n">
        <v>2772</v>
      </c>
      <c r="D12" s="38" t="n">
        <v>3152</v>
      </c>
      <c r="E12" s="21" t="n">
        <v>2773</v>
      </c>
      <c r="F12" s="21" t="n">
        <v>2641</v>
      </c>
      <c r="G12" s="21" t="n">
        <v>2628</v>
      </c>
      <c r="H12" s="21" t="n">
        <v>2807</v>
      </c>
      <c r="I12" s="21" t="n">
        <v>2638</v>
      </c>
      <c r="J12" s="21" t="n">
        <v>2865</v>
      </c>
      <c r="K12" s="21" t="n">
        <v>3036</v>
      </c>
      <c r="L12" s="21" t="n">
        <v>2929</v>
      </c>
      <c r="M12" s="21" t="n">
        <v>2153</v>
      </c>
    </row>
    <row r="13" customFormat="false" ht="15" hidden="false" customHeight="false" outlineLevel="0" collapsed="false">
      <c r="A13" s="25" t="s">
        <v>11</v>
      </c>
      <c r="B13" s="26" t="n">
        <v>382</v>
      </c>
      <c r="C13" s="26" t="n">
        <v>422</v>
      </c>
      <c r="D13" s="38" t="n">
        <v>463</v>
      </c>
      <c r="E13" s="26" t="n">
        <v>398</v>
      </c>
      <c r="F13" s="26" t="n">
        <v>397</v>
      </c>
      <c r="G13" s="26" t="n">
        <v>375</v>
      </c>
      <c r="H13" s="26" t="n">
        <v>412</v>
      </c>
      <c r="I13" s="26" t="n">
        <v>372</v>
      </c>
      <c r="J13" s="26" t="n">
        <v>390</v>
      </c>
      <c r="K13" s="26" t="n">
        <v>448</v>
      </c>
      <c r="L13" s="26" t="n">
        <v>401</v>
      </c>
      <c r="M13" s="26" t="n">
        <v>318</v>
      </c>
    </row>
    <row r="14" customFormat="false" ht="15" hidden="false" customHeight="false" outlineLevel="0" collapsed="false">
      <c r="A14" s="20" t="s">
        <v>36</v>
      </c>
      <c r="B14" s="21" t="n">
        <v>87</v>
      </c>
      <c r="C14" s="21" t="n">
        <v>93</v>
      </c>
      <c r="D14" s="38" t="n">
        <v>118</v>
      </c>
      <c r="E14" s="21" t="n">
        <v>84</v>
      </c>
      <c r="F14" s="21" t="n">
        <v>84</v>
      </c>
      <c r="G14" s="21" t="n">
        <v>96</v>
      </c>
      <c r="H14" s="21" t="n">
        <v>99</v>
      </c>
      <c r="I14" s="21" t="n">
        <v>87</v>
      </c>
      <c r="J14" s="21" t="n">
        <v>106</v>
      </c>
      <c r="K14" s="21" t="n">
        <v>115</v>
      </c>
      <c r="L14" s="21" t="n">
        <v>109</v>
      </c>
      <c r="M14" s="21" t="n">
        <v>82</v>
      </c>
    </row>
    <row r="17" customFormat="false" ht="24" hidden="false" customHeight="true" outlineLevel="0" collapsed="false">
      <c r="A17" s="34" t="s">
        <v>58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</sheetData>
  <mergeCells count="2">
    <mergeCell ref="A1:M1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1" t="s">
        <v>59</v>
      </c>
      <c r="B1" s="1"/>
      <c r="C1" s="1"/>
      <c r="D1" s="1"/>
    </row>
    <row r="3" customFormat="false" ht="15" hidden="false" customHeight="false" outlineLevel="0" collapsed="false">
      <c r="A3" s="35" t="s">
        <v>60</v>
      </c>
      <c r="B3" s="35" t="s">
        <v>61</v>
      </c>
      <c r="C3" s="35" t="s">
        <v>62</v>
      </c>
      <c r="D3" s="35" t="s">
        <v>63</v>
      </c>
    </row>
    <row r="4" customFormat="false" ht="15" hidden="false" customHeight="false" outlineLevel="0" collapsed="false">
      <c r="A4" s="39" t="n">
        <v>2010</v>
      </c>
      <c r="B4" s="37" t="n">
        <v>16</v>
      </c>
      <c r="D4" s="40"/>
    </row>
    <row r="5" customFormat="false" ht="15" hidden="false" customHeight="false" outlineLevel="0" collapsed="false">
      <c r="A5" s="41" t="n">
        <v>2011</v>
      </c>
      <c r="B5" s="21" t="n">
        <v>10</v>
      </c>
      <c r="C5" s="42" t="n">
        <v>-6</v>
      </c>
      <c r="D5" s="20"/>
    </row>
    <row r="6" customFormat="false" ht="15" hidden="false" customHeight="false" outlineLevel="0" collapsed="false">
      <c r="A6" s="39" t="n">
        <v>2012</v>
      </c>
      <c r="B6" s="37" t="n">
        <v>10</v>
      </c>
      <c r="C6" s="43" t="n">
        <v>0</v>
      </c>
      <c r="D6" s="40"/>
    </row>
    <row r="7" customFormat="false" ht="15" hidden="false" customHeight="false" outlineLevel="0" collapsed="false">
      <c r="A7" s="41" t="n">
        <v>2013</v>
      </c>
      <c r="B7" s="21" t="n">
        <v>2</v>
      </c>
      <c r="C7" s="42" t="n">
        <v>-8</v>
      </c>
      <c r="D7" s="20"/>
    </row>
    <row r="8" customFormat="false" ht="15" hidden="false" customHeight="false" outlineLevel="0" collapsed="false">
      <c r="A8" s="39" t="n">
        <v>2014</v>
      </c>
      <c r="B8" s="37" t="n">
        <v>7</v>
      </c>
      <c r="C8" s="43" t="n">
        <v>5</v>
      </c>
      <c r="D8" s="40"/>
    </row>
    <row r="9" customFormat="false" ht="15" hidden="false" customHeight="false" outlineLevel="0" collapsed="false">
      <c r="A9" s="41" t="n">
        <v>2015</v>
      </c>
      <c r="B9" s="21" t="n">
        <v>10</v>
      </c>
      <c r="C9" s="44" t="n">
        <v>3</v>
      </c>
      <c r="D9" s="20"/>
    </row>
    <row r="10" customFormat="false" ht="15" hidden="false" customHeight="false" outlineLevel="0" collapsed="false">
      <c r="A10" s="39" t="n">
        <v>2016</v>
      </c>
      <c r="B10" s="37" t="n">
        <v>14</v>
      </c>
      <c r="C10" s="43" t="n">
        <v>4</v>
      </c>
      <c r="D10" s="40"/>
    </row>
    <row r="11" customFormat="false" ht="15" hidden="false" customHeight="false" outlineLevel="0" collapsed="false">
      <c r="A11" s="41" t="n">
        <v>2017</v>
      </c>
      <c r="B11" s="21" t="n">
        <v>22</v>
      </c>
      <c r="C11" s="44" t="n">
        <v>8</v>
      </c>
      <c r="D11" s="20"/>
    </row>
    <row r="12" customFormat="false" ht="15" hidden="false" customHeight="false" outlineLevel="0" collapsed="false">
      <c r="A12" s="39" t="n">
        <v>2018</v>
      </c>
      <c r="B12" s="37" t="n">
        <v>24</v>
      </c>
      <c r="C12" s="43" t="n">
        <v>2</v>
      </c>
      <c r="D12" s="40"/>
    </row>
    <row r="13" customFormat="false" ht="15" hidden="false" customHeight="false" outlineLevel="0" collapsed="false">
      <c r="A13" s="41" t="n">
        <v>2019</v>
      </c>
      <c r="B13" s="21" t="n">
        <v>31</v>
      </c>
      <c r="C13" s="44" t="n">
        <v>7</v>
      </c>
      <c r="D13" s="20"/>
    </row>
    <row r="14" customFormat="false" ht="15" hidden="false" customHeight="false" outlineLevel="0" collapsed="false">
      <c r="A14" s="39" t="n">
        <v>2020</v>
      </c>
      <c r="B14" s="37" t="n">
        <v>59</v>
      </c>
      <c r="C14" s="45" t="n">
        <v>28</v>
      </c>
      <c r="D14" s="40" t="s">
        <v>64</v>
      </c>
    </row>
    <row r="15" customFormat="false" ht="15" hidden="false" customHeight="false" outlineLevel="0" collapsed="false">
      <c r="A15" s="41" t="n">
        <v>2021</v>
      </c>
      <c r="B15" s="21" t="n">
        <v>118</v>
      </c>
      <c r="C15" s="45" t="n">
        <v>59</v>
      </c>
      <c r="D15" s="20" t="s">
        <v>65</v>
      </c>
    </row>
    <row r="16" customFormat="false" ht="15" hidden="false" customHeight="false" outlineLevel="0" collapsed="false">
      <c r="A16" s="39" t="n">
        <v>2022</v>
      </c>
      <c r="B16" s="46" t="n">
        <v>160</v>
      </c>
      <c r="C16" s="45" t="n">
        <v>42</v>
      </c>
      <c r="D16" s="47" t="s">
        <v>66</v>
      </c>
    </row>
    <row r="17" customFormat="false" ht="15" hidden="false" customHeight="false" outlineLevel="0" collapsed="false">
      <c r="A17" s="41" t="n">
        <v>2023</v>
      </c>
      <c r="B17" s="21" t="n">
        <v>135</v>
      </c>
      <c r="C17" s="42" t="n">
        <v>-25</v>
      </c>
      <c r="D17" s="20" t="s">
        <v>67</v>
      </c>
    </row>
    <row r="18" customFormat="false" ht="15" hidden="false" customHeight="false" outlineLevel="0" collapsed="false">
      <c r="A18" s="39" t="n">
        <v>2024</v>
      </c>
      <c r="B18" s="37" t="n">
        <v>44</v>
      </c>
      <c r="C18" s="42" t="n">
        <v>-91</v>
      </c>
      <c r="D18" s="40" t="s">
        <v>68</v>
      </c>
    </row>
    <row r="20" customFormat="false" ht="27.75" hidden="false" customHeight="true" outlineLevel="0" collapsed="false">
      <c r="A20" s="48" t="s">
        <v>69</v>
      </c>
      <c r="B20" s="48"/>
      <c r="C20" s="48"/>
      <c r="D20" s="48"/>
    </row>
  </sheetData>
  <mergeCells count="2">
    <mergeCell ref="A1:D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8"/>
  </cols>
  <sheetData>
    <row r="1" customFormat="false" ht="31.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71</v>
      </c>
      <c r="B3" s="9"/>
      <c r="C3" s="9"/>
      <c r="D3" s="9"/>
      <c r="E3" s="9"/>
      <c r="F3" s="9"/>
      <c r="G3" s="9"/>
      <c r="H3" s="9"/>
    </row>
    <row r="4" customFormat="false" ht="15" hidden="false" customHeight="false" outlineLevel="0" collapsed="false">
      <c r="A4" s="35" t="s">
        <v>60</v>
      </c>
      <c r="B4" s="35" t="s">
        <v>72</v>
      </c>
      <c r="C4" s="35" t="s">
        <v>73</v>
      </c>
      <c r="D4" s="35" t="s">
        <v>74</v>
      </c>
    </row>
    <row r="5" customFormat="false" ht="15" hidden="false" customHeight="false" outlineLevel="0" collapsed="false">
      <c r="A5" s="39" t="n">
        <v>2010</v>
      </c>
      <c r="B5" s="37" t="n">
        <v>861</v>
      </c>
      <c r="D5" s="40" t="s">
        <v>75</v>
      </c>
    </row>
    <row r="6" customFormat="false" ht="15" hidden="false" customHeight="false" outlineLevel="0" collapsed="false">
      <c r="A6" s="41" t="n">
        <v>2011</v>
      </c>
      <c r="B6" s="21" t="n">
        <v>986</v>
      </c>
      <c r="C6" s="22" t="n">
        <v>14.5</v>
      </c>
      <c r="D6" s="20" t="s">
        <v>75</v>
      </c>
    </row>
    <row r="7" customFormat="false" ht="15" hidden="false" customHeight="false" outlineLevel="0" collapsed="false">
      <c r="A7" s="39" t="n">
        <v>2012</v>
      </c>
      <c r="B7" s="37" t="n">
        <v>1148</v>
      </c>
      <c r="C7" s="49" t="n">
        <v>16.4</v>
      </c>
      <c r="D7" s="40" t="s">
        <v>75</v>
      </c>
    </row>
    <row r="8" customFormat="false" ht="15" hidden="false" customHeight="false" outlineLevel="0" collapsed="false">
      <c r="A8" s="41" t="n">
        <v>2013</v>
      </c>
      <c r="B8" s="21" t="n">
        <v>1322</v>
      </c>
      <c r="C8" s="22" t="n">
        <v>15.2</v>
      </c>
      <c r="D8" s="20" t="s">
        <v>75</v>
      </c>
    </row>
    <row r="9" customFormat="false" ht="15" hidden="false" customHeight="false" outlineLevel="0" collapsed="false">
      <c r="A9" s="39" t="n">
        <v>2014</v>
      </c>
      <c r="B9" s="37" t="n">
        <v>1520</v>
      </c>
      <c r="C9" s="49" t="n">
        <v>15</v>
      </c>
      <c r="D9" s="40" t="s">
        <v>75</v>
      </c>
    </row>
    <row r="10" customFormat="false" ht="15" hidden="false" customHeight="false" outlineLevel="0" collapsed="false">
      <c r="A10" s="41" t="n">
        <v>2015</v>
      </c>
      <c r="B10" s="21" t="n">
        <v>1756</v>
      </c>
      <c r="C10" s="22" t="n">
        <v>15.5</v>
      </c>
      <c r="D10" s="20" t="s">
        <v>76</v>
      </c>
    </row>
    <row r="11" customFormat="false" ht="15" hidden="false" customHeight="false" outlineLevel="0" collapsed="false">
      <c r="A11" s="39" t="n">
        <v>2016</v>
      </c>
      <c r="B11" s="37" t="n">
        <v>1924</v>
      </c>
      <c r="C11" s="49" t="n">
        <v>9.6</v>
      </c>
      <c r="D11" s="40" t="s">
        <v>76</v>
      </c>
    </row>
    <row r="12" customFormat="false" ht="15" hidden="false" customHeight="false" outlineLevel="0" collapsed="false">
      <c r="A12" s="41" t="n">
        <v>2017</v>
      </c>
      <c r="B12" s="21" t="n">
        <v>2143</v>
      </c>
      <c r="C12" s="22" t="n">
        <v>11.4</v>
      </c>
      <c r="D12" s="20" t="s">
        <v>76</v>
      </c>
    </row>
    <row r="13" customFormat="false" ht="15" hidden="false" customHeight="false" outlineLevel="0" collapsed="false">
      <c r="A13" s="39" t="n">
        <v>2018</v>
      </c>
      <c r="B13" s="37" t="n">
        <v>2508</v>
      </c>
      <c r="C13" s="49" t="n">
        <v>17</v>
      </c>
      <c r="D13" s="40" t="s">
        <v>76</v>
      </c>
    </row>
    <row r="14" customFormat="false" ht="15" hidden="false" customHeight="false" outlineLevel="0" collapsed="false">
      <c r="A14" s="41" t="n">
        <v>2019</v>
      </c>
      <c r="B14" s="21" t="n">
        <v>2989</v>
      </c>
      <c r="C14" s="22" t="n">
        <v>19.2</v>
      </c>
      <c r="D14" s="20" t="s">
        <v>76</v>
      </c>
    </row>
    <row r="15" customFormat="false" ht="15" hidden="false" customHeight="false" outlineLevel="0" collapsed="false">
      <c r="A15" s="39" t="n">
        <v>2020</v>
      </c>
      <c r="B15" s="37" t="n">
        <v>3088</v>
      </c>
      <c r="C15" s="49" t="n">
        <v>3.3</v>
      </c>
      <c r="D15" s="40" t="s">
        <v>76</v>
      </c>
    </row>
    <row r="16" customFormat="false" ht="15" hidden="false" customHeight="false" outlineLevel="0" collapsed="false">
      <c r="A16" s="41" t="n">
        <v>2021</v>
      </c>
      <c r="B16" s="21" t="n">
        <v>3435</v>
      </c>
      <c r="C16" s="22" t="n">
        <v>11.2</v>
      </c>
      <c r="D16" s="20" t="s">
        <v>76</v>
      </c>
    </row>
    <row r="17" customFormat="false" ht="15" hidden="false" customHeight="false" outlineLevel="0" collapsed="false">
      <c r="A17" s="39" t="n">
        <v>2022</v>
      </c>
      <c r="B17" s="37" t="n">
        <v>3893</v>
      </c>
      <c r="C17" s="49" t="n">
        <v>13.3</v>
      </c>
      <c r="D17" s="40" t="s">
        <v>76</v>
      </c>
    </row>
    <row r="18" customFormat="false" ht="15" hidden="false" customHeight="false" outlineLevel="0" collapsed="false">
      <c r="A18" s="41" t="n">
        <v>2023</v>
      </c>
      <c r="B18" s="50" t="n">
        <v>6275</v>
      </c>
      <c r="C18" s="51" t="n">
        <v>61.2</v>
      </c>
      <c r="D18" s="20" t="s">
        <v>77</v>
      </c>
    </row>
    <row r="19" customFormat="false" ht="15" hidden="false" customHeight="false" outlineLevel="0" collapsed="false">
      <c r="A19" s="39" t="n">
        <v>2024</v>
      </c>
      <c r="B19" s="50" t="n">
        <v>6653</v>
      </c>
      <c r="C19" s="49" t="n">
        <v>6</v>
      </c>
      <c r="D19" s="40" t="s">
        <v>77</v>
      </c>
    </row>
    <row r="22" customFormat="false" ht="15" hidden="false" customHeight="false" outlineLevel="0" collapsed="false">
      <c r="A22" s="9" t="s">
        <v>78</v>
      </c>
      <c r="B22" s="9"/>
      <c r="C22" s="9"/>
      <c r="D22" s="9"/>
      <c r="E22" s="9"/>
      <c r="F22" s="9"/>
      <c r="G22" s="9"/>
      <c r="H22" s="9"/>
    </row>
    <row r="23" customFormat="false" ht="27.75" hidden="false" customHeight="true" outlineLevel="0" collapsed="false">
      <c r="A23" s="13" t="s">
        <v>79</v>
      </c>
      <c r="B23" s="13" t="s">
        <v>80</v>
      </c>
      <c r="C23" s="13" t="s">
        <v>2</v>
      </c>
      <c r="D23" s="13" t="s">
        <v>4</v>
      </c>
      <c r="E23" s="13" t="s">
        <v>3</v>
      </c>
      <c r="F23" s="13" t="s">
        <v>81</v>
      </c>
      <c r="G23" s="13" t="s">
        <v>82</v>
      </c>
      <c r="H23" s="13" t="s">
        <v>83</v>
      </c>
    </row>
    <row r="24" customFormat="false" ht="15" hidden="false" customHeight="false" outlineLevel="0" collapsed="false">
      <c r="A24" s="40" t="s">
        <v>84</v>
      </c>
      <c r="B24" s="37" t="n">
        <v>1734</v>
      </c>
      <c r="C24" s="37" t="n">
        <v>1590</v>
      </c>
      <c r="D24" s="37" t="n">
        <v>25</v>
      </c>
      <c r="E24" s="37" t="n">
        <v>119</v>
      </c>
      <c r="F24" s="52" t="n">
        <v>91.7</v>
      </c>
      <c r="G24" s="52" t="n">
        <v>6.9</v>
      </c>
      <c r="H24" s="37" t="n">
        <v>968257079</v>
      </c>
    </row>
    <row r="25" customFormat="false" ht="15" hidden="false" customHeight="false" outlineLevel="0" collapsed="false">
      <c r="A25" s="20" t="s">
        <v>85</v>
      </c>
      <c r="B25" s="21" t="n">
        <v>1708</v>
      </c>
      <c r="C25" s="21" t="n">
        <v>1544</v>
      </c>
      <c r="D25" s="21" t="n">
        <v>35</v>
      </c>
      <c r="E25" s="21" t="n">
        <v>129</v>
      </c>
      <c r="F25" s="24" t="n">
        <v>90.4</v>
      </c>
      <c r="G25" s="24" t="n">
        <v>7.6</v>
      </c>
      <c r="H25" s="21" t="n">
        <v>950935473</v>
      </c>
    </row>
    <row r="26" customFormat="false" ht="15" hidden="false" customHeight="false" outlineLevel="0" collapsed="false">
      <c r="A26" s="40" t="s">
        <v>86</v>
      </c>
      <c r="B26" s="37" t="n">
        <v>1598</v>
      </c>
      <c r="C26" s="37" t="n">
        <v>1466</v>
      </c>
      <c r="D26" s="37" t="n">
        <v>28</v>
      </c>
      <c r="E26" s="37" t="n">
        <v>104</v>
      </c>
      <c r="F26" s="52" t="n">
        <v>91.7</v>
      </c>
      <c r="G26" s="52" t="n">
        <v>6.5</v>
      </c>
      <c r="H26" s="37" t="n">
        <v>883356616</v>
      </c>
    </row>
    <row r="27" customFormat="false" ht="15" hidden="false" customHeight="false" outlineLevel="0" collapsed="false">
      <c r="A27" s="20" t="s">
        <v>87</v>
      </c>
      <c r="B27" s="21" t="n">
        <v>1574</v>
      </c>
      <c r="C27" s="21" t="n">
        <v>1441</v>
      </c>
      <c r="D27" s="21" t="n">
        <v>24</v>
      </c>
      <c r="E27" s="21" t="n">
        <v>109</v>
      </c>
      <c r="F27" s="24" t="n">
        <v>91.6</v>
      </c>
      <c r="G27" s="24" t="n">
        <v>6.9</v>
      </c>
      <c r="H27" s="21" t="n">
        <v>908357073</v>
      </c>
    </row>
    <row r="28" customFormat="false" ht="15" hidden="false" customHeight="false" outlineLevel="0" collapsed="false">
      <c r="A28" s="40" t="s">
        <v>88</v>
      </c>
      <c r="B28" s="37" t="n">
        <v>1346</v>
      </c>
      <c r="C28" s="37" t="n">
        <v>1237</v>
      </c>
      <c r="D28" s="37" t="n">
        <v>29</v>
      </c>
      <c r="E28" s="37" t="n">
        <v>80</v>
      </c>
      <c r="F28" s="52" t="n">
        <v>91.9</v>
      </c>
      <c r="G28" s="52" t="n">
        <v>5.9</v>
      </c>
      <c r="H28" s="37" t="n">
        <v>775490589</v>
      </c>
    </row>
    <row r="29" customFormat="false" ht="15" hidden="false" customHeight="false" outlineLevel="0" collapsed="false">
      <c r="A29" s="20" t="s">
        <v>89</v>
      </c>
      <c r="B29" s="21" t="n">
        <v>1327</v>
      </c>
      <c r="C29" s="21" t="n">
        <v>1204</v>
      </c>
      <c r="D29" s="21" t="n">
        <v>29</v>
      </c>
      <c r="E29" s="21" t="n">
        <v>94</v>
      </c>
      <c r="F29" s="24" t="n">
        <v>90.7</v>
      </c>
      <c r="G29" s="24" t="n">
        <v>7.1</v>
      </c>
      <c r="H29" s="21" t="n">
        <v>791647840</v>
      </c>
    </row>
    <row r="30" customFormat="false" ht="15" hidden="false" customHeight="false" outlineLevel="0" collapsed="false">
      <c r="A30" s="40" t="s">
        <v>90</v>
      </c>
      <c r="B30" s="37" t="n">
        <v>1243</v>
      </c>
      <c r="C30" s="37" t="n">
        <v>1135</v>
      </c>
      <c r="D30" s="37" t="n">
        <v>16</v>
      </c>
      <c r="E30" s="37" t="n">
        <v>92</v>
      </c>
      <c r="F30" s="52" t="n">
        <v>91.3</v>
      </c>
      <c r="G30" s="52" t="n">
        <v>7.4</v>
      </c>
      <c r="H30" s="37" t="n">
        <v>704015040</v>
      </c>
    </row>
    <row r="31" customFormat="false" ht="15" hidden="false" customHeight="false" outlineLevel="0" collapsed="false">
      <c r="A31" s="20" t="s">
        <v>91</v>
      </c>
      <c r="B31" s="21" t="n">
        <v>1122</v>
      </c>
      <c r="C31" s="21" t="n">
        <v>1031</v>
      </c>
      <c r="D31" s="21" t="n">
        <v>22</v>
      </c>
      <c r="E31" s="21" t="n">
        <v>69</v>
      </c>
      <c r="F31" s="24" t="n">
        <v>91.9</v>
      </c>
      <c r="G31" s="24" t="n">
        <v>6.1</v>
      </c>
      <c r="H31" s="21" t="n">
        <v>617837825</v>
      </c>
    </row>
    <row r="32" customFormat="false" ht="15" hidden="false" customHeight="false" outlineLevel="0" collapsed="false">
      <c r="A32" s="40" t="s">
        <v>92</v>
      </c>
      <c r="B32" s="37" t="n">
        <v>946</v>
      </c>
      <c r="C32" s="37" t="n">
        <v>865</v>
      </c>
      <c r="D32" s="37" t="n">
        <v>21</v>
      </c>
      <c r="E32" s="37" t="n">
        <v>60</v>
      </c>
      <c r="F32" s="52" t="n">
        <v>91.4</v>
      </c>
      <c r="G32" s="52" t="n">
        <v>6.3</v>
      </c>
      <c r="H32" s="37" t="n">
        <v>544385663</v>
      </c>
    </row>
    <row r="33" customFormat="false" ht="15" hidden="false" customHeight="false" outlineLevel="0" collapsed="false">
      <c r="A33" s="20" t="s">
        <v>93</v>
      </c>
      <c r="B33" s="21" t="n">
        <v>857</v>
      </c>
      <c r="C33" s="21" t="n">
        <v>773</v>
      </c>
      <c r="D33" s="21" t="n">
        <v>15</v>
      </c>
      <c r="E33" s="21" t="n">
        <v>69</v>
      </c>
      <c r="F33" s="24" t="n">
        <v>90.2</v>
      </c>
      <c r="G33" s="53" t="n">
        <v>8.1</v>
      </c>
      <c r="H33" s="21" t="n">
        <v>478455286</v>
      </c>
    </row>
    <row r="35" customFormat="false" ht="24" hidden="false" customHeight="true" outlineLevel="0" collapsed="false">
      <c r="A35" s="34" t="s">
        <v>94</v>
      </c>
      <c r="B35" s="34"/>
      <c r="C35" s="34"/>
      <c r="D35" s="34"/>
      <c r="E35" s="34"/>
      <c r="F35" s="34"/>
      <c r="G35" s="34"/>
      <c r="H35" s="34"/>
    </row>
  </sheetData>
  <mergeCells count="4">
    <mergeCell ref="A1:H1"/>
    <mergeCell ref="A3:H3"/>
    <mergeCell ref="A22:H22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2026-03-29T01:20:45Z</dcterms:created>
  <dc:creator>openpyxl</dc:creator>
  <dc:description/>
  <dc:language>en-US</dc:language>
  <cp:lastModifiedBy/>
  <dcterms:modified xsi:type="dcterms:W3CDTF">2026-03-29T01:20:52Z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